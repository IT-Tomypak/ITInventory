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s\it-inventory\ITInventory\"/>
    </mc:Choice>
  </mc:AlternateContent>
  <xr:revisionPtr revIDLastSave="0" documentId="13_ncr:1_{FF59D990-4633-4718-9C06-277074130A24}" xr6:coauthVersionLast="47" xr6:coauthVersionMax="47" xr10:uidLastSave="{00000000-0000-0000-0000-000000000000}"/>
  <bookViews>
    <workbookView xWindow="28680" yWindow="-120" windowWidth="29040" windowHeight="15720" tabRatio="807" activeTab="10" xr2:uid="{00000000-000D-0000-FFFF-FFFF00000000}"/>
  </bookViews>
  <sheets>
    <sheet name="PC List Master" sheetId="1" r:id="rId1"/>
    <sheet name="Batch4 Migration Plan" sheetId="23" r:id="rId2"/>
    <sheet name="Desktop PC Info" sheetId="21" r:id="rId3"/>
    <sheet name="PC List (2)" sheetId="5" state="hidden" r:id="rId4"/>
    <sheet name="Sheet10" sheetId="14" state="hidden" r:id="rId5"/>
    <sheet name="Disposal" sheetId="7" state="hidden" r:id="rId6"/>
    <sheet name="Sheet4" sheetId="4" state="hidden" r:id="rId7"/>
    <sheet name="Sheet2" sheetId="2" state="hidden" r:id="rId8"/>
    <sheet name="Sheet3" sheetId="3" state="hidden" r:id="rId9"/>
    <sheet name="Main Dashboard" sheetId="18" state="hidden" r:id="rId10"/>
    <sheet name="Masterlist_2026" sheetId="22" r:id="rId11"/>
  </sheets>
  <definedNames>
    <definedName name="_xlnm._FilterDatabase" localSheetId="1" hidden="1">'Batch4 Migration Plan'!$A$1:$W$22</definedName>
    <definedName name="_xlnm._FilterDatabase" localSheetId="3" hidden="1">'PC List (2)'!$A$4:$AE$166</definedName>
    <definedName name="_xlnm._FilterDatabase" localSheetId="0" hidden="1">'PC List Master'!#REF!</definedName>
    <definedName name="_xlnm.Print_Area" localSheetId="0">'PC List Master'!$A$1:$AD$142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1" l="1"/>
  <c r="F125" i="1"/>
  <c r="F124" i="1"/>
  <c r="F122" i="1"/>
  <c r="F121" i="1"/>
  <c r="F120" i="1"/>
  <c r="F123" i="1"/>
  <c r="G220" i="7"/>
  <c r="G219" i="7"/>
  <c r="G218" i="7"/>
  <c r="G217" i="7"/>
  <c r="G222" i="7"/>
  <c r="I196" i="5"/>
  <c r="H196" i="5"/>
  <c r="G196" i="5"/>
  <c r="I195" i="5"/>
  <c r="H195" i="5"/>
  <c r="G195" i="5"/>
  <c r="I194" i="5"/>
  <c r="H194" i="5"/>
  <c r="G194" i="5"/>
  <c r="I193" i="5"/>
  <c r="H193" i="5"/>
  <c r="G193" i="5"/>
  <c r="I192" i="5"/>
  <c r="H192" i="5"/>
  <c r="G192" i="5"/>
  <c r="I191" i="5"/>
  <c r="H191" i="5"/>
  <c r="G191" i="5"/>
  <c r="I190" i="5"/>
  <c r="H190" i="5"/>
  <c r="G190" i="5"/>
  <c r="I189" i="5"/>
  <c r="H189" i="5"/>
  <c r="G189" i="5"/>
  <c r="I188" i="5"/>
  <c r="H188" i="5"/>
  <c r="G188" i="5"/>
  <c r="I187" i="5"/>
  <c r="H187" i="5"/>
  <c r="G187" i="5"/>
  <c r="I186" i="5"/>
  <c r="H186" i="5"/>
  <c r="G186" i="5"/>
  <c r="I185" i="5"/>
  <c r="H185" i="5"/>
  <c r="G185" i="5"/>
  <c r="I184" i="5"/>
  <c r="H184" i="5"/>
  <c r="G184" i="5"/>
  <c r="I183" i="5"/>
  <c r="H183" i="5"/>
  <c r="G183" i="5"/>
  <c r="I182" i="5"/>
  <c r="H182" i="5"/>
  <c r="G182" i="5"/>
  <c r="I181" i="5"/>
  <c r="H181" i="5"/>
  <c r="G181" i="5"/>
  <c r="I180" i="5"/>
  <c r="H180" i="5"/>
  <c r="G180" i="5"/>
  <c r="I179" i="5"/>
  <c r="H179" i="5"/>
  <c r="G179" i="5"/>
  <c r="I178" i="5"/>
  <c r="H178" i="5"/>
  <c r="G178" i="5"/>
  <c r="I177" i="5"/>
  <c r="H177" i="5"/>
  <c r="G177" i="5"/>
  <c r="I176" i="5"/>
  <c r="H176" i="5"/>
  <c r="G176" i="5"/>
  <c r="I175" i="5"/>
  <c r="H175" i="5"/>
  <c r="G175" i="5"/>
  <c r="G169" i="5"/>
  <c r="G168" i="5"/>
  <c r="G197" i="5"/>
  <c r="H197" i="5"/>
  <c r="G170" i="5"/>
  <c r="I197" i="5"/>
  <c r="E26" i="4"/>
  <c r="F127" i="1" l="1"/>
  <c r="F1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tc={C4FB3B67-7AAB-493E-8FAC-1A2B04548F1D}</author>
    <author>tc={144172F8-A412-4F7F-9971-FDD903FA5AAD}</author>
    <author>tc={C7E3C776-AE42-468B-82DD-99A7A49F9939}</author>
    <author>tc={E3A117D0-22B1-47C8-979B-25C5FFF838F7}</author>
    <author>tc={8B175033-1049-4E6E-9B0D-5DEAFE481139}</author>
    <author>tc={98A0E077-56CA-478B-9E1F-E290A8C594EE}</author>
    <author>tc={8604CD7A-AD2B-43FD-866E-89F25EB795FE}</author>
    <author>tc={40BB8594-257E-4784-9171-D75ACF253C02}</author>
    <author>tc={C6FA5DD0-0BC3-4E12-BAEC-80FEDB7C5EF7}</author>
    <author>tc={A940DA91-C1BD-41BB-BC9C-9E953E98FFD7}</author>
    <author>tc={631B04E1-95BA-454D-BE77-D188504764C5}</author>
    <author>tc={EC62B265-A0E1-460F-9351-69213A8DAFF7}</author>
    <author>tc={CE93D011-5F4D-4ECB-8CAC-FF6012BED774}</author>
    <author>tc={6C6C53BE-736D-4626-BCB1-D749AC8BB712}</author>
    <author>tc={EE19ABE9-2DD6-4A4B-8DD4-F70030FC5DD3}</author>
    <author>tc={39B81BA3-50DC-47C9-8E57-4274D4C5B105}</author>
    <author>tc={5425702B-8515-437A-A808-5F9CB11B032D}</author>
    <author>tc={92B8486B-AF92-40C1-81DC-81791AF11BA9}</author>
    <author>tc={EA0987E7-3245-4875-B609-7E8FA841DE70}</author>
    <author>tc={DA57F91C-1FBD-4ADD-8794-7634B4C8972C}</author>
    <author>tc={3A06BA44-0EA5-4237-AAF5-C6B3625A9DC9}</author>
    <author>tc={0F2C28B9-C5FA-49D6-9352-55174D97EAE7}</author>
    <author>tc={95381612-BF65-41EE-977C-6234A366184D}</author>
  </authors>
  <commentList>
    <comment ref="X32" authorId="0" shapeId="0" xr:uid="{C4FB3B67-7AAB-493E-8FAC-1A2B04548F1D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on 10/9/2025. The PC not using M.Office</t>
      </text>
    </comment>
    <comment ref="Y68" authorId="1" shapeId="0" xr:uid="{144172F8-A412-4F7F-9971-FDD903FA5AAD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69" authorId="2" shapeId="0" xr:uid="{C7E3C776-AE42-468B-82DD-99A7A49F9939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0" authorId="3" shapeId="0" xr:uid="{E3A117D0-22B1-47C8-979B-25C5FFF8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1" authorId="4" shapeId="0" xr:uid="{8B175033-1049-4E6E-9B0D-5DEAFE481139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2" authorId="5" shapeId="0" xr:uid="{98A0E077-56CA-478B-9E1F-E290A8C594EE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3" authorId="6" shapeId="0" xr:uid="{8604CD7A-AD2B-43FD-866E-89F25EB795FE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4" authorId="7" shapeId="0" xr:uid="{40BB8594-257E-4784-9171-D75ACF253C02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5" authorId="8" shapeId="0" xr:uid="{C6FA5DD0-0BC3-4E12-BAEC-80FEDB7C5EF7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6" authorId="9" shapeId="0" xr:uid="{A940DA91-C1BD-41BB-BC9C-9E953E98FFD7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7" authorId="10" shapeId="0" xr:uid="{631B04E1-95BA-454D-BE77-D188504764C5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8" authorId="11" shapeId="0" xr:uid="{EC62B265-A0E1-460F-9351-69213A8DAFF7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79" authorId="12" shapeId="0" xr:uid="{CE93D011-5F4D-4ECB-8CAC-FF6012BED774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80" authorId="13" shapeId="0" xr:uid="{6C6C53BE-736D-4626-BCB1-D749AC8BB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81" authorId="14" shapeId="0" xr:uid="{EE19ABE9-2DD6-4A4B-8DD4-F70030FC5D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82" authorId="15" shapeId="0" xr:uid="{39B81BA3-50DC-47C9-8E57-4274D4C5B105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83" authorId="16" shapeId="0" xr:uid="{5425702B-8515-437A-A808-5F9CB11B032D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84" authorId="17" shapeId="0" xr:uid="{92B8486B-AF92-40C1-81DC-81791AF11BA9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85" authorId="18" shapeId="0" xr:uid="{EA0987E7-3245-4875-B609-7E8FA841DE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86" authorId="19" shapeId="0" xr:uid="{DA57F91C-1FBD-4ADD-8794-7634B4C897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87" authorId="20" shapeId="0" xr:uid="{3A06BA44-0EA5-4237-AAF5-C6B3625A9DC9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88" authorId="21" shapeId="0" xr:uid="{0F2C28B9-C5FA-49D6-9352-55174D97EAE7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Y91" authorId="22" shapeId="0" xr:uid="{95381612-BF65-41EE-977C-6234A366184D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tc={4A0424EB-330A-432B-802B-63AD4886990E}</author>
    <author>tc={F3F5514B-387E-4138-B13F-361F7A9CF978}</author>
    <author>tc={CC2D4F4A-873C-4BD4-8146-91E374C16BC7}</author>
    <author>tc={9A7C24ED-BBFD-46D1-ADDD-618291357CCE}</author>
    <author>tc={874F31BE-D250-4D20-AE50-A7626B4BFA29}</author>
    <author>tc={7753670C-DE81-4671-8305-CE4F0433D966}</author>
    <author>tc={C2BEB0BA-7775-4C4C-B5A7-4980F6A80E53}</author>
    <author>tc={1E9980EF-FC7C-4A6E-A424-159704335334}</author>
    <author>tc={C19A0FA6-DA8E-401C-AE07-B9D2A22E786D}</author>
    <author>tc={41C65C37-1DAA-4A73-90C2-6EC0C2F80CE2}</author>
    <author>tc={B7D3A750-1D85-42B9-896F-72A5752A8B9F}</author>
    <author>tc={977986A9-D887-475D-8516-BDDE630C71AD}</author>
    <author>tc={777D9BD4-F961-4B6B-B318-A9CEB5802BAC}</author>
    <author>tc={9EDDEF99-B1C2-4807-858E-8E3AAB2AEF50}</author>
    <author>tc={E06C1ED2-B9D3-43BB-A4AE-5D1735706240}</author>
    <author>tc={E9AC8A18-2805-4419-9C6B-DEC0E2BED2FD}</author>
    <author>tc={CD445A6B-7454-435D-A403-43B77417B03B}</author>
    <author>tc={ECEB872F-E8E5-4087-BCC7-575258B1D157}</author>
    <author>tc={7FEBDFE1-4153-4BEF-AC44-1F546149FC1A}</author>
    <author>tc={09E93FE8-FE18-4719-B9F2-E403D9012FCE}</author>
    <author>tc={A083703C-6E4D-4BF0-8643-96632D44A72E}</author>
  </authors>
  <commentList>
    <comment ref="S2" authorId="0" shapeId="0" xr:uid="{4A0424EB-330A-432B-802B-63AD4886990E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3" authorId="1" shapeId="0" xr:uid="{F3F5514B-387E-4138-B13F-361F7A9CF978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4" authorId="2" shapeId="0" xr:uid="{CC2D4F4A-873C-4BD4-8146-91E374C16BC7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5" authorId="3" shapeId="0" xr:uid="{9A7C24ED-BBFD-46D1-ADDD-618291357C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6" authorId="4" shapeId="0" xr:uid="{874F31BE-D250-4D20-AE50-A7626B4BFA29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7" authorId="5" shapeId="0" xr:uid="{7753670C-DE81-4671-8305-CE4F0433D966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8" authorId="6" shapeId="0" xr:uid="{C2BEB0BA-7775-4C4C-B5A7-4980F6A80E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9" authorId="7" shapeId="0" xr:uid="{1E9980EF-FC7C-4A6E-A424-159704335334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0" authorId="8" shapeId="0" xr:uid="{C19A0FA6-DA8E-401C-AE07-B9D2A22E786D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1" authorId="9" shapeId="0" xr:uid="{41C65C37-1DAA-4A73-90C2-6EC0C2F80CE2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2" authorId="10" shapeId="0" xr:uid="{B7D3A750-1D85-42B9-896F-72A5752A8B9F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3" authorId="11" shapeId="0" xr:uid="{977986A9-D887-475D-8516-BDDE630C71AD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4" authorId="12" shapeId="0" xr:uid="{777D9BD4-F961-4B6B-B318-A9CEB5802BAC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5" authorId="13" shapeId="0" xr:uid="{9EDDEF99-B1C2-4807-858E-8E3AAB2AEF50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6" authorId="14" shapeId="0" xr:uid="{E06C1ED2-B9D3-43BB-A4AE-5D1735706240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7" authorId="15" shapeId="0" xr:uid="{E9AC8A18-2805-4419-9C6B-DEC0E2BED2FD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8" authorId="16" shapeId="0" xr:uid="{CD445A6B-7454-435D-A403-43B77417B03B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19" authorId="17" shapeId="0" xr:uid="{ECEB872F-E8E5-4087-BCC7-575258B1D157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20" authorId="18" shapeId="0" xr:uid="{7FEBDFE1-4153-4BEF-AC44-1F546149FC1A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21" authorId="19" shapeId="0" xr:uid="{09E93FE8-FE18-4719-B9F2-E403D9012F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  <comment ref="S22" authorId="20" shapeId="0" xr:uid="{A083703C-6E4D-4BF0-8643-96632D44A72E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from PC 159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johnnygoh</author>
  </authors>
  <commentList>
    <comment ref="F3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need fa tt form and signed</t>
        </r>
      </text>
    </comment>
    <comment ref="I5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Need Double check</t>
        </r>
      </text>
    </comment>
    <comment ref="N53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johnnygoh:</t>
        </r>
        <r>
          <rPr>
            <sz val="9"/>
            <color indexed="81"/>
            <rFont val="Tahoma"/>
            <family val="2"/>
          </rPr>
          <t xml:space="preserve">
two network adapter
so intercancel to ip set
assigned 175 / 138 to each netadpater for him to switch
</t>
        </r>
      </text>
    </comment>
    <comment ref="Z133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johnnygoh:</t>
        </r>
        <r>
          <rPr>
            <sz val="9"/>
            <color indexed="81"/>
            <rFont val="Tahoma"/>
            <family val="2"/>
          </rPr>
          <t xml:space="preserve">
used as prod kasmayati pc too</t>
        </r>
      </text>
    </comment>
    <comment ref="Z162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johnnygoh:</t>
        </r>
        <r>
          <rPr>
            <sz val="9"/>
            <color indexed="81"/>
            <rFont val="Tahoma"/>
            <family val="2"/>
          </rPr>
          <t xml:space="preserve">
johnnygoh:
used as qc daniel pc too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johnnygoh</author>
  </authors>
  <commentList>
    <comment ref="F2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need fa tt form and signed</t>
        </r>
      </text>
    </comment>
    <comment ref="H9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No Found Asset ID</t>
        </r>
      </text>
    </comment>
    <comment ref="I97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Need double check</t>
        </r>
      </text>
    </comment>
    <comment ref="J13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Need Double check</t>
        </r>
      </text>
    </comment>
    <comment ref="O139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johnnygoh:</t>
        </r>
        <r>
          <rPr>
            <sz val="9"/>
            <color indexed="81"/>
            <rFont val="Tahoma"/>
            <family val="2"/>
          </rPr>
          <t xml:space="preserve">
two network adapter
so intercancel to ip set
assigned 175 / 138 to each netadpater for him to switch
</t>
        </r>
      </text>
    </comment>
    <comment ref="AA146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johnnygoh:</t>
        </r>
        <r>
          <rPr>
            <sz val="9"/>
            <color indexed="81"/>
            <rFont val="Tahoma"/>
            <family val="2"/>
          </rPr>
          <t xml:space="preserve">
used as prod kasmayati pc too</t>
        </r>
      </text>
    </comment>
    <comment ref="AA162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johnnygoh:</t>
        </r>
        <r>
          <rPr>
            <sz val="9"/>
            <color indexed="81"/>
            <rFont val="Tahoma"/>
            <family val="2"/>
          </rPr>
          <t xml:space="preserve">
johnnygoh:
used as qc daniel pc too</t>
        </r>
      </text>
    </comment>
  </commentList>
</comments>
</file>

<file path=xl/sharedStrings.xml><?xml version="1.0" encoding="utf-8"?>
<sst xmlns="http://schemas.openxmlformats.org/spreadsheetml/2006/main" count="14588" uniqueCount="3243">
  <si>
    <t>Names</t>
  </si>
  <si>
    <t>Column1</t>
  </si>
  <si>
    <t>Asset ID.</t>
  </si>
  <si>
    <t>Status</t>
  </si>
  <si>
    <t>History</t>
  </si>
  <si>
    <t>Type</t>
  </si>
  <si>
    <t>User</t>
  </si>
  <si>
    <t>Column3</t>
  </si>
  <si>
    <t>Previous User</t>
  </si>
  <si>
    <t>Plant</t>
  </si>
  <si>
    <t>Department</t>
  </si>
  <si>
    <t>Pur.Yr.</t>
  </si>
  <si>
    <t>Contract End</t>
  </si>
  <si>
    <t>IP Address</t>
  </si>
  <si>
    <t>mac address</t>
  </si>
  <si>
    <t>Brand</t>
  </si>
  <si>
    <t>Model</t>
  </si>
  <si>
    <t>S/N</t>
  </si>
  <si>
    <t>OS</t>
  </si>
  <si>
    <t>OS Key</t>
  </si>
  <si>
    <t>Processor</t>
  </si>
  <si>
    <t>RAM</t>
  </si>
  <si>
    <t>HDD Capacity</t>
  </si>
  <si>
    <t xml:space="preserve">App </t>
  </si>
  <si>
    <t>App Key</t>
  </si>
  <si>
    <t>Other App. Installed2</t>
  </si>
  <si>
    <t>Any Desk Address</t>
  </si>
  <si>
    <t>Batch Number</t>
  </si>
  <si>
    <t>Column2</t>
  </si>
  <si>
    <t>TPPC</t>
  </si>
  <si>
    <t>BUYOUT</t>
  </si>
  <si>
    <t>TO BE WO</t>
  </si>
  <si>
    <t>Laptop</t>
  </si>
  <si>
    <t>Raudah WH</t>
  </si>
  <si>
    <t>Tampoi</t>
  </si>
  <si>
    <t>IT</t>
  </si>
  <si>
    <t>192.168.20.181</t>
  </si>
  <si>
    <t>E4F89CA34E27</t>
  </si>
  <si>
    <t>HP</t>
  </si>
  <si>
    <t>HP Probook 440 G2</t>
  </si>
  <si>
    <t>CND5270T0B</t>
  </si>
  <si>
    <t>MS Windows 10 Pro 64-bits</t>
  </si>
  <si>
    <t>Activation ID: 00371OEM899267100008</t>
  </si>
  <si>
    <t>Core i5-5200u</t>
  </si>
  <si>
    <t>4GB DDR3</t>
  </si>
  <si>
    <t>500GB</t>
  </si>
  <si>
    <t>MS Office Home &amp; Business 2013 Full Pack</t>
  </si>
  <si>
    <t>CGN48-WGHT8-FMR9D-WRVJR-FCW9D</t>
  </si>
  <si>
    <t>Nil</t>
  </si>
  <si>
    <t>REPAIR</t>
  </si>
  <si>
    <t>SLOW</t>
  </si>
  <si>
    <t>Desktop</t>
  </si>
  <si>
    <t>Siti Hazirah (small desktop)</t>
  </si>
  <si>
    <t>Sales</t>
  </si>
  <si>
    <t>192.168.20.141</t>
  </si>
  <si>
    <t>484D7ED30F9A</t>
  </si>
  <si>
    <t>Dell</t>
  </si>
  <si>
    <t>D10U OpticPlex 3046</t>
  </si>
  <si>
    <t>1PJ61H2</t>
  </si>
  <si>
    <t>MS Windows 10 Pro 64Bits</t>
  </si>
  <si>
    <t>MY05KWV9M06976C206D5</t>
  </si>
  <si>
    <t>Intel Core i5-6500T</t>
  </si>
  <si>
    <t>4GB</t>
  </si>
  <si>
    <t>Raudah Binti Samian</t>
  </si>
  <si>
    <t>WH</t>
  </si>
  <si>
    <t>192.168.20.183</t>
  </si>
  <si>
    <t>40B034519FAF</t>
  </si>
  <si>
    <t>HP PROBOOK 440 G4</t>
  </si>
  <si>
    <t>5CD7104SHB</t>
  </si>
  <si>
    <t>00330-50446-84999-AAOEM</t>
  </si>
  <si>
    <t>Intel Core i5-7200U</t>
  </si>
  <si>
    <t>CTBLAPTOP</t>
  </si>
  <si>
    <t>Norreen</t>
  </si>
  <si>
    <t>CPP</t>
  </si>
  <si>
    <t>+wf</t>
  </si>
  <si>
    <t>Fujitsu LBS6230 - AH008E0B1</t>
  </si>
  <si>
    <t>USE</t>
  </si>
  <si>
    <t>Mazlind</t>
  </si>
  <si>
    <t>Amalina</t>
  </si>
  <si>
    <t>QC</t>
  </si>
  <si>
    <t>192.168.30.5</t>
  </si>
  <si>
    <t>88B111406E1F</t>
  </si>
  <si>
    <t>HP ZBOOK 15U G4</t>
  </si>
  <si>
    <t>5CG7322FZJ</t>
  </si>
  <si>
    <t>00330-50615-53134-AAOEM</t>
  </si>
  <si>
    <t>Intel Core i7-7500U</t>
  </si>
  <si>
    <t>8GB</t>
  </si>
  <si>
    <t>500G</t>
  </si>
  <si>
    <t>MS Office 2016</t>
  </si>
  <si>
    <t>CYVFN-WPDXB-M3VG4-6VY77-B7V39</t>
  </si>
  <si>
    <t>Saiful Syazuwan</t>
  </si>
  <si>
    <t>Slitting</t>
  </si>
  <si>
    <t>192.168.30.18</t>
  </si>
  <si>
    <t>88B111393064</t>
  </si>
  <si>
    <t>LENOVO</t>
  </si>
  <si>
    <t>LENOVO THINKPAD E570</t>
  </si>
  <si>
    <t>SPF0UWLLS5</t>
  </si>
  <si>
    <t>00330-50627-77245-AAOEM</t>
  </si>
  <si>
    <t>1TB</t>
  </si>
  <si>
    <t>Siti Hazirah</t>
  </si>
  <si>
    <t>Shipping</t>
  </si>
  <si>
    <t>192.168.20.135</t>
  </si>
  <si>
    <t>ACE2D36A1945</t>
  </si>
  <si>
    <t>HP PROBOOK 440 G5</t>
  </si>
  <si>
    <t>5CD7494B2B</t>
  </si>
  <si>
    <t>00330-50117-13994-aaoem</t>
  </si>
  <si>
    <t>Intel Core i5-8250U</t>
  </si>
  <si>
    <t>4+4GB</t>
  </si>
  <si>
    <t>NGDC9-3MB9B-FWJV8-6FJ6M-VQWYK</t>
  </si>
  <si>
    <t>Annisatul</t>
  </si>
  <si>
    <t>ACC</t>
  </si>
  <si>
    <t>192.168.30.4</t>
  </si>
  <si>
    <t>F85971FE5BA0</t>
  </si>
  <si>
    <t>5CD75065GW</t>
  </si>
  <si>
    <t>00330-50813-48297-aaoem</t>
  </si>
  <si>
    <t>2GJNV-2926K-38GCW-MCP6D-DV67X</t>
  </si>
  <si>
    <t>123 429 960</t>
  </si>
  <si>
    <t>Sharanya AP Ramanthan</t>
  </si>
  <si>
    <t>RND</t>
  </si>
  <si>
    <t>192.168.20.142</t>
  </si>
  <si>
    <t>8CEC4B4B5D7A1E</t>
  </si>
  <si>
    <t>OpticPlex 3050</t>
  </si>
  <si>
    <t>72NR9P2</t>
  </si>
  <si>
    <t>00330-51002-68156-AAOEM</t>
  </si>
  <si>
    <t>Intel Core i5-7500</t>
  </si>
  <si>
    <t>MS Office 2019</t>
  </si>
  <si>
    <t>DTRFK-NR6RM-3M43X-XV42W-GVJYK</t>
  </si>
  <si>
    <t>1 814 425 911</t>
  </si>
  <si>
    <t xml:space="preserve">Lamsticker </t>
  </si>
  <si>
    <t>192.168.20.31</t>
  </si>
  <si>
    <t>8CEC4B5DB3CF</t>
  </si>
  <si>
    <t>6JWZ9P2</t>
  </si>
  <si>
    <t>N2BR9-V2WF7-CVWYY-3D297-M4G7X</t>
  </si>
  <si>
    <t>907 762 905</t>
  </si>
  <si>
    <t>Sharanya</t>
  </si>
  <si>
    <t>Razak</t>
  </si>
  <si>
    <t>KL</t>
  </si>
  <si>
    <t>192.168.20.103</t>
  </si>
  <si>
    <t>8CEC4B5D80CB</t>
  </si>
  <si>
    <t>6K00BP2</t>
  </si>
  <si>
    <t>00330-51002-68089-AAOEM</t>
  </si>
  <si>
    <t>HG2WD-T2NBQ-YRKHG-YQYJG-BP2MK</t>
  </si>
  <si>
    <t xml:space="preserve">Bashar </t>
  </si>
  <si>
    <t>LAM</t>
  </si>
  <si>
    <t>192.168.66.104</t>
  </si>
  <si>
    <t>0C54152067D7</t>
  </si>
  <si>
    <t>VOSTRO 5471</t>
  </si>
  <si>
    <t>1SXDL42</t>
  </si>
  <si>
    <t>00330-51183-19878-AAOEM</t>
  </si>
  <si>
    <t>4+4gb</t>
  </si>
  <si>
    <t>TDCDM-29NBD-9PJKK-BJ82T-C9XVX</t>
  </si>
  <si>
    <t>655 141 789</t>
  </si>
  <si>
    <t>Upgrade SSD May24</t>
  </si>
  <si>
    <t>Nur Ain Umaira BT Yazid</t>
  </si>
  <si>
    <t>HRA</t>
  </si>
  <si>
    <t>192.168.30.7</t>
  </si>
  <si>
    <t>0C541520681D</t>
  </si>
  <si>
    <t>7TXDL42</t>
  </si>
  <si>
    <t>00330-51183-18002-AAOEM</t>
  </si>
  <si>
    <t>TFT24-RNKQB-7CFJB-HW6FK-T83HX</t>
  </si>
  <si>
    <t>1 313 260 138</t>
  </si>
  <si>
    <t>Siti Aisyah</t>
  </si>
  <si>
    <t>192.168.30.24</t>
  </si>
  <si>
    <t>C0B6F9667560</t>
  </si>
  <si>
    <t>5CD8317H1R</t>
  </si>
  <si>
    <t>00330-51325-19127-AAOEM</t>
  </si>
  <si>
    <t>Kamsaton</t>
  </si>
  <si>
    <t>192.168.21.77</t>
  </si>
  <si>
    <t>54BF64884BA3</t>
  </si>
  <si>
    <t>OpticPlex 3060</t>
  </si>
  <si>
    <t>8Q860T2</t>
  </si>
  <si>
    <t>00330-50000-00000-AAOEM</t>
  </si>
  <si>
    <t>Intel Core i5 8th Gen.</t>
  </si>
  <si>
    <t xml:space="preserve">7YHB8 - YNKTK - X92C4 - B4BT8 - 33WYK </t>
  </si>
  <si>
    <t>Nurnadia</t>
  </si>
  <si>
    <t>192.168.0.18</t>
  </si>
  <si>
    <t>50AF73218E36</t>
  </si>
  <si>
    <t>Lenovo</t>
  </si>
  <si>
    <t>Desktop Lenovo Idea Center</t>
  </si>
  <si>
    <t>US00052037</t>
  </si>
  <si>
    <t>Suhaira Binti Badarudin</t>
  </si>
  <si>
    <t>Warehouse</t>
  </si>
  <si>
    <t>192.168.30.56</t>
  </si>
  <si>
    <t>DC:88:28:95:ED:6D</t>
  </si>
  <si>
    <t>5CD8505G72</t>
  </si>
  <si>
    <t>PRNDV-47WJX-9DK3M-K76JP-J44D9</t>
  </si>
  <si>
    <t>Mohamad Nasrullah</t>
  </si>
  <si>
    <t>192.168.30.57</t>
  </si>
  <si>
    <t>DC8B2893A9BD</t>
  </si>
  <si>
    <t>5CD8505G4W</t>
  </si>
  <si>
    <t>2HQMQ-TNWQ3-2V3G6-FQ47J-VH67X</t>
  </si>
  <si>
    <t>IT Training</t>
  </si>
  <si>
    <t>192.168.30.58</t>
  </si>
  <si>
    <t>F4D1083347E4</t>
  </si>
  <si>
    <t>HP SPECTRE X360 LAPTOP</t>
  </si>
  <si>
    <t>5CD90263VF</t>
  </si>
  <si>
    <t>00330-71388-22325-AAOEM</t>
  </si>
  <si>
    <t>QP2CN-66CCD-9H9R7-44MKC-HH67X</t>
  </si>
  <si>
    <t>Chloe Lee Fui Ling</t>
  </si>
  <si>
    <t>Planning</t>
  </si>
  <si>
    <t>192.168.30.59</t>
  </si>
  <si>
    <t>48F17F1D18C5</t>
  </si>
  <si>
    <t>DELL INSPIRON 3576 NOTEBOOK CTO-I7</t>
  </si>
  <si>
    <t>FX9TFT2</t>
  </si>
  <si>
    <t>Intel Core i7 8th Gen.</t>
  </si>
  <si>
    <t>MS Office 2017</t>
  </si>
  <si>
    <t>Q9NF9-CFHT6-GY72V-4RGBV-VT9VX</t>
  </si>
  <si>
    <t>Karen</t>
  </si>
  <si>
    <t xml:space="preserve">IT Label </t>
  </si>
  <si>
    <t>Purchasing</t>
  </si>
  <si>
    <t>HP PrODesk 400 G6 SFF</t>
  </si>
  <si>
    <t>Intel Core i5-9th Gen.</t>
  </si>
  <si>
    <t>JYGXN-B89DW-4VXRK-K89KX-CDKVX</t>
  </si>
  <si>
    <t>LM Sticker Label</t>
  </si>
  <si>
    <t>192.168.0.189</t>
  </si>
  <si>
    <t>E8D8D1BA1558</t>
  </si>
  <si>
    <t>HP ProDesk 400 G6 SFF</t>
  </si>
  <si>
    <t>1CZ01101XD</t>
  </si>
  <si>
    <t>Digital License</t>
  </si>
  <si>
    <t>Intel Core i5 9th Gen.</t>
  </si>
  <si>
    <t>512GB SSD</t>
  </si>
  <si>
    <t>DJVG7-XVGW3-VVCHM-CWDYY-CV6QZ</t>
  </si>
  <si>
    <t>397 670 722</t>
  </si>
  <si>
    <t>Zahran\Aziz</t>
  </si>
  <si>
    <t>192.168.20.150</t>
  </si>
  <si>
    <t>E8D8D1CCF4CA</t>
  </si>
  <si>
    <t>1CZ033064B</t>
  </si>
  <si>
    <t>TB394-KNMWX-D46BH-FR447-DRVH6</t>
  </si>
  <si>
    <t>Any Desk</t>
  </si>
  <si>
    <t>967 044 620</t>
  </si>
  <si>
    <t>CE-00305A01-21</t>
  </si>
  <si>
    <t>Faizuddin</t>
  </si>
  <si>
    <t>Saiful Syazuwan / Jefry</t>
  </si>
  <si>
    <t>192.168.20.154 / 30.53</t>
  </si>
  <si>
    <t>3024A987F288 / D8F8832EA06D</t>
  </si>
  <si>
    <t xml:space="preserve">HP PROBOOK 440 G8 </t>
  </si>
  <si>
    <t>5CD050FWJW</t>
  </si>
  <si>
    <t>Intel Core i5 11th Gen.</t>
  </si>
  <si>
    <t>8GB DDR4</t>
  </si>
  <si>
    <t>256GB SSD</t>
  </si>
  <si>
    <t>NRYYR-6TB4T-QCC2F-4Q7YQ-YBKBT</t>
  </si>
  <si>
    <t>1 975 729 337</t>
  </si>
  <si>
    <t>CE-00307A01-21</t>
  </si>
  <si>
    <t>Nurish</t>
  </si>
  <si>
    <t>HP Probook 440 G8</t>
  </si>
  <si>
    <t>5CD059FWLN</t>
  </si>
  <si>
    <t>Ingress</t>
  </si>
  <si>
    <t>Nasuha</t>
  </si>
  <si>
    <t>Syarif Wirai</t>
  </si>
  <si>
    <t>192.168.20.146 / 30.51</t>
  </si>
  <si>
    <t>f80dac0f95cc / 988d46b64f90</t>
  </si>
  <si>
    <t>l</t>
  </si>
  <si>
    <t>5CD0458J9N</t>
  </si>
  <si>
    <t>M365</t>
  </si>
  <si>
    <t>Standard license</t>
  </si>
  <si>
    <t>1 232 253 275</t>
  </si>
  <si>
    <t>192.168.20.191 / 30.27</t>
  </si>
  <si>
    <t>3024a987f297 / d8f8832eab1c</t>
  </si>
  <si>
    <t>5CD050FWLN</t>
  </si>
  <si>
    <t>N3G97-Q637T-T2JYH-FM9J7-T3CYT</t>
  </si>
  <si>
    <t>1 308 558 400</t>
  </si>
  <si>
    <t>Nurul Izaan Bt Abdullah Halid</t>
  </si>
  <si>
    <t>Afif</t>
  </si>
  <si>
    <t>192.168.20.147 / 30.50</t>
  </si>
  <si>
    <t>d8f8832e9f50 / 3024a987f3f1</t>
  </si>
  <si>
    <t>5CD050FWLM</t>
  </si>
  <si>
    <t>829NF-43QDT-3VCFX-QDMX3-MDX76</t>
  </si>
  <si>
    <t>SL Sticker Label / Abd Rahman</t>
  </si>
  <si>
    <t>SL</t>
  </si>
  <si>
    <t>192.168.20.163</t>
  </si>
  <si>
    <t>E8D8D1B719CE</t>
  </si>
  <si>
    <t>1CZ00102VS</t>
  </si>
  <si>
    <t>MS Windows 11 Pro 64Bits</t>
  </si>
  <si>
    <t>Q33X3-24K93-MHW77-MHK2J-PPGXZ</t>
  </si>
  <si>
    <t>930 688 304</t>
  </si>
  <si>
    <t>BM Sticker</t>
  </si>
  <si>
    <t>BM</t>
  </si>
  <si>
    <t>30-DE-4B-F4-3F-07</t>
  </si>
  <si>
    <t>1CZ00102VQ</t>
  </si>
  <si>
    <t>76G6T-9MFTP-KJP6C-G97JC-XFP47</t>
  </si>
  <si>
    <t>Safirah</t>
  </si>
  <si>
    <t>192.168.21.40 / 30.40</t>
  </si>
  <si>
    <t>6c02e077bd7a / 18CC188BC9A0</t>
  </si>
  <si>
    <t>5CD1047ZGJ</t>
  </si>
  <si>
    <t>8N9W7-BCP4Y-QFVWT-QCC6V-KHK76</t>
  </si>
  <si>
    <t>DWG</t>
  </si>
  <si>
    <t>111 717 589</t>
  </si>
  <si>
    <t>Faezah</t>
  </si>
  <si>
    <t>Faizudin</t>
  </si>
  <si>
    <t>192.168.20.104 / 30.28</t>
  </si>
  <si>
    <t>b0227ada25cd / e8f408829e84</t>
  </si>
  <si>
    <t>5CD112GR2Y</t>
  </si>
  <si>
    <t>KHK2P-YPJTR-J4H69-CTR6D-XQQGZ</t>
  </si>
  <si>
    <t>1 252 202 123</t>
  </si>
  <si>
    <t>Basyar</t>
  </si>
  <si>
    <t>Sukeertha</t>
  </si>
  <si>
    <t>192.168.20.146 / 30.42</t>
  </si>
  <si>
    <t>6c02e073dc51 / e884a54563fc</t>
  </si>
  <si>
    <t>5CD1072JZF</t>
  </si>
  <si>
    <t>2MMY9-KFHKX-YVCJ4-KCVW4-VCCWZ</t>
  </si>
  <si>
    <t>210 021 957</t>
  </si>
  <si>
    <t>Akmal Afiq</t>
  </si>
  <si>
    <t>Faizal</t>
  </si>
  <si>
    <t>192.168.21.91 / 30.44</t>
  </si>
  <si>
    <t>6c02e073de7f / e884a545663b</t>
  </si>
  <si>
    <t>5CD1072K03</t>
  </si>
  <si>
    <t>CVG6F-FXTMY-CXXJH-Y69QM-QH33Z</t>
  </si>
  <si>
    <t>144 259 919</t>
  </si>
  <si>
    <t>Fadhli</t>
  </si>
  <si>
    <t>Farah Nabilah</t>
  </si>
  <si>
    <t>192.168.20.168 / 30.29</t>
  </si>
  <si>
    <t>b0227adaa348 / e8f408895071</t>
  </si>
  <si>
    <t>5CD11363XX</t>
  </si>
  <si>
    <t>CHXJ6-2KCFR-XR9JR-QCK9F-XCRKZ</t>
  </si>
  <si>
    <t>Resigned - Returned 25092026</t>
  </si>
  <si>
    <t>Norizan</t>
  </si>
  <si>
    <t>Zolkarnain</t>
  </si>
  <si>
    <t>PT</t>
  </si>
  <si>
    <t>192.168.20.169 / 30.31</t>
  </si>
  <si>
    <t>b0227adb2e81 / e8f40826ca5a</t>
  </si>
  <si>
    <t>5CD1136402</t>
  </si>
  <si>
    <t>MS Office 2019 / 2016</t>
  </si>
  <si>
    <t>KF6WW-KJYVK-4DRM2-YFGMT-W29QZ / XN2CJ-6BKCM-468BF-M4RRJ-DGPMK (norizan)</t>
  </si>
  <si>
    <t>818 040 087</t>
  </si>
  <si>
    <t>SPARE</t>
  </si>
  <si>
    <t>Vacant</t>
  </si>
  <si>
    <t>Jasmine</t>
  </si>
  <si>
    <t>192.168.20.176 / 30.21</t>
  </si>
  <si>
    <t>b0227adb9ce8 / e8f40826ca23</t>
  </si>
  <si>
    <t>5CD11363Z6</t>
  </si>
  <si>
    <t>2JVWK-D9HDW-HG476-CCJK4-QHR4Z</t>
  </si>
  <si>
    <t>Nur Ain Binti Mohamad Amir</t>
  </si>
  <si>
    <t>SALES</t>
  </si>
  <si>
    <t>192.168.30.46</t>
  </si>
  <si>
    <t>0CE441DAAF60</t>
  </si>
  <si>
    <t>APPLE</t>
  </si>
  <si>
    <t>Macbook Air Apple M1</t>
  </si>
  <si>
    <t>FVFFTGQDQ6L7</t>
  </si>
  <si>
    <t>MacOS Big Sur version 11.3.1</t>
  </si>
  <si>
    <t>N/A</t>
  </si>
  <si>
    <t>256GB  Macintosh HD</t>
  </si>
  <si>
    <t>MS 365 Business Standard (Subscribe)</t>
  </si>
  <si>
    <t>QC Team</t>
  </si>
  <si>
    <t>Hasanuddin</t>
  </si>
  <si>
    <t>PJNCV-B3JM4-2PYFK-V9BRF-WFG7X</t>
  </si>
  <si>
    <t>192 722 0722</t>
  </si>
  <si>
    <t>Printing Team</t>
  </si>
  <si>
    <t>Printing Supervisor</t>
  </si>
  <si>
    <t>N6H3G-B9T33-YVKYF-PP4VX-DYH39</t>
  </si>
  <si>
    <t>Muhammad Haziq</t>
  </si>
  <si>
    <t>192.168.50.134</t>
  </si>
  <si>
    <t>C8:F7:50:18:1D:38</t>
  </si>
  <si>
    <t>DELL</t>
  </si>
  <si>
    <t>DELL LATITUDE 7490</t>
  </si>
  <si>
    <t>4DC7VP2</t>
  </si>
  <si>
    <t>256GB M.2 NVME SSD</t>
  </si>
  <si>
    <t>90DL7S2</t>
  </si>
  <si>
    <t xml:space="preserve">16GB DDR4 </t>
  </si>
  <si>
    <t>9VK9MQ2</t>
  </si>
  <si>
    <t>TPLI</t>
  </si>
  <si>
    <t>TPLI001</t>
  </si>
  <si>
    <t>iPad</t>
  </si>
  <si>
    <t>Benjamin</t>
  </si>
  <si>
    <t>DIR</t>
  </si>
  <si>
    <t>NIL</t>
  </si>
  <si>
    <t>11 inch (M2) Apple iPad Air WIFI 256 GB (6th Gen)</t>
  </si>
  <si>
    <t>SC3JK4YHYQQ</t>
  </si>
  <si>
    <t>5th</t>
  </si>
  <si>
    <t>CHN</t>
  </si>
  <si>
    <t>TPML</t>
  </si>
  <si>
    <t>TPML020</t>
  </si>
  <si>
    <t>Return CHN</t>
  </si>
  <si>
    <t>LOQ</t>
  </si>
  <si>
    <t>Nasrullah</t>
  </si>
  <si>
    <t>31.05.2026</t>
  </si>
  <si>
    <t>ce:63:a7:9b:fb:5a/10:b5:88:4f:66:6a</t>
  </si>
  <si>
    <t>C02KC313Q6L7</t>
  </si>
  <si>
    <t>MacOS Ventura 13.0</t>
  </si>
  <si>
    <t>Anydesk</t>
  </si>
  <si>
    <t>911 050 222</t>
  </si>
  <si>
    <t>4th</t>
  </si>
  <si>
    <t>TPML021</t>
  </si>
  <si>
    <t>Use asset HP from Zolkarnain</t>
  </si>
  <si>
    <t>Hasfisah Nasuha</t>
  </si>
  <si>
    <t>10:b5:88:51:78:cd</t>
  </si>
  <si>
    <t>C02KC2WKQ6L7</t>
  </si>
  <si>
    <t>823 906 497</t>
  </si>
  <si>
    <t>TPML022</t>
  </si>
  <si>
    <t>Buyout</t>
  </si>
  <si>
    <t>Azmi Bin Arshad</t>
  </si>
  <si>
    <t>10:b5:88:4f:a8::d3</t>
  </si>
  <si>
    <t>C02KC30CQ6L7</t>
  </si>
  <si>
    <t>1 281 660 483</t>
  </si>
  <si>
    <t>TPML024</t>
  </si>
  <si>
    <t>Think Pad RW</t>
  </si>
  <si>
    <t>Chen Yih Hwai</t>
  </si>
  <si>
    <t>10:b5:88:50:60:1e</t>
  </si>
  <si>
    <t>C02KC2ZPQ6L7</t>
  </si>
  <si>
    <t>tomypakwong@hotmail.com</t>
  </si>
  <si>
    <t>1 048 993 784</t>
  </si>
  <si>
    <t>TPML025</t>
  </si>
  <si>
    <t>Atty Afiza</t>
  </si>
  <si>
    <t>10:b5:88:51:8d:02</t>
  </si>
  <si>
    <t>C02KC2Y4Q6L7</t>
  </si>
  <si>
    <t>1 922 532 012</t>
  </si>
  <si>
    <t>TPML026</t>
  </si>
  <si>
    <t>REPAIR SCREEN JUNE 24</t>
  </si>
  <si>
    <t>BP Nge</t>
  </si>
  <si>
    <t>MT</t>
  </si>
  <si>
    <t>10:b5:88:4d:0b:f3</t>
  </si>
  <si>
    <t>C02KC30RQ6L7</t>
  </si>
  <si>
    <t>1 770 729 126</t>
  </si>
  <si>
    <t>TPML027</t>
  </si>
  <si>
    <t>Lee Kwee Heng</t>
  </si>
  <si>
    <t>70:ae:d5:56:0d:d2</t>
  </si>
  <si>
    <t>C02KC2SXQ6L7</t>
  </si>
  <si>
    <t>1 352 211 467</t>
  </si>
  <si>
    <t>TPDL</t>
  </si>
  <si>
    <t>TPDL032</t>
  </si>
  <si>
    <t>Aiman Haziq</t>
  </si>
  <si>
    <t>02.12.2028</t>
  </si>
  <si>
    <t>HP PRODESK 4 TOWER G1i SFF</t>
  </si>
  <si>
    <t>4CE535D74D </t>
  </si>
  <si>
    <t>32GB</t>
  </si>
  <si>
    <t>475GB</t>
  </si>
  <si>
    <t>1 902 470 156</t>
  </si>
  <si>
    <t>RENTAL WORKS</t>
  </si>
  <si>
    <t>TPDL033</t>
  </si>
  <si>
    <t>Kasturi</t>
  </si>
  <si>
    <t>4CE535D76K</t>
  </si>
  <si>
    <t>1 088 739 681</t>
  </si>
  <si>
    <t>TPDL034</t>
  </si>
  <si>
    <t>Ai Lin</t>
  </si>
  <si>
    <t>4CE535D7R7</t>
  </si>
  <si>
    <t>BNF6Y-XWDPX-WTMJ2-KCTKD-4GDHX (TPDL022)</t>
  </si>
  <si>
    <t>1 160 052 578</t>
  </si>
  <si>
    <t>TPDL035</t>
  </si>
  <si>
    <t>Ayu</t>
  </si>
  <si>
    <t>4CE535D74Y</t>
  </si>
  <si>
    <t xml:space="preserve">NY9VB-D22QH-787G4-T4FWF-3DBQ9 (TPDL026) </t>
  </si>
  <si>
    <t>1 990 404 490</t>
  </si>
  <si>
    <t>TPDL036</t>
  </si>
  <si>
    <t>4CE535D76G </t>
  </si>
  <si>
    <t xml:space="preserve">JYGXN-B89DW-4VXRK-K89KX-CDKVX (TPDL021) </t>
  </si>
  <si>
    <t>1 136 507 137</t>
  </si>
  <si>
    <t>TPDL037</t>
  </si>
  <si>
    <t>Sharon</t>
  </si>
  <si>
    <t>4CE535D735 </t>
  </si>
  <si>
    <t xml:space="preserve">FC2CQ-GNXTK-CM6RB-WQ427-GCQHX (TPDL011) </t>
  </si>
  <si>
    <t>1 925 502 873</t>
  </si>
  <si>
    <t>TPDL038</t>
  </si>
  <si>
    <t>KH Loh</t>
  </si>
  <si>
    <t>4CE535D72Y </t>
  </si>
  <si>
    <t>CF8NT-R9T4J-P9Y9F-W9CDB-G3BQ9 (TPDL003)</t>
  </si>
  <si>
    <t>1 382 896 065</t>
  </si>
  <si>
    <t>TPDL039</t>
  </si>
  <si>
    <t>Theresa</t>
  </si>
  <si>
    <t>4CE535D73W </t>
  </si>
  <si>
    <t>MS 365 Business Standard</t>
  </si>
  <si>
    <t>1 195 115 664</t>
  </si>
  <si>
    <t>TPDL040</t>
  </si>
  <si>
    <t>Adawiyah</t>
  </si>
  <si>
    <t>4CE535D72S</t>
  </si>
  <si>
    <t xml:space="preserve">P76N4-2C48Y-GF3XX-W367B-3GPMK (TPDL004) </t>
  </si>
  <si>
    <t>1 645 746 754</t>
  </si>
  <si>
    <t>TPDL041</t>
  </si>
  <si>
    <t>4CE535D7P4 </t>
  </si>
  <si>
    <t xml:space="preserve">MS Office 2019 </t>
  </si>
  <si>
    <t>N3G97-Q637T-T2JYH-FM9J7-T3CYT (TPPC 224)</t>
  </si>
  <si>
    <t>TPDL042</t>
  </si>
  <si>
    <t>Jenny Soon</t>
  </si>
  <si>
    <t>4CE535D7PJ</t>
  </si>
  <si>
    <t xml:space="preserve">D283Y-NB47F-F4F9D-42YV3-T6PMK (TPDL005) </t>
  </si>
  <si>
    <t>1 972 400 391</t>
  </si>
  <si>
    <t>TPDL043</t>
  </si>
  <si>
    <t>Salimah</t>
  </si>
  <si>
    <t>Azlan</t>
  </si>
  <si>
    <t>4CE535D753 </t>
  </si>
  <si>
    <t xml:space="preserve">R7TMT-NTMHB-B72Q4-Y87F3-63BQ9 (TPDL006) </t>
  </si>
  <si>
    <t>1 811 294 881</t>
  </si>
  <si>
    <t>TPDL044</t>
  </si>
  <si>
    <t>Kelana</t>
  </si>
  <si>
    <t xml:space="preserve">4CE535D736 </t>
  </si>
  <si>
    <t>4XN2V-JM4K9-PM8W4-DD2K7-HXMQ9 (TPDL007)</t>
  </si>
  <si>
    <t>1 909 472 236</t>
  </si>
  <si>
    <t>TPDL045</t>
  </si>
  <si>
    <t>Laila Ayub</t>
  </si>
  <si>
    <t>4CE535D75S</t>
  </si>
  <si>
    <t>7NTBY-YMRP3-M3H6H-KMXRX-QV67X</t>
  </si>
  <si>
    <t>1 77727214</t>
  </si>
  <si>
    <t>TPLL</t>
  </si>
  <si>
    <t>TPLL001</t>
  </si>
  <si>
    <t>Vacat</t>
  </si>
  <si>
    <t>Suhaini Abd Rahman (Ayin)</t>
  </si>
  <si>
    <t>70-D8-23-70-D7-A8</t>
  </si>
  <si>
    <t>Thinkbook 15 G4 IAP</t>
  </si>
  <si>
    <t>MP2EF8K7</t>
  </si>
  <si>
    <t>B2J4F-N49KD-XK4FC-98GK3-2WGBK (TPLL001)</t>
  </si>
  <si>
    <t>1 346 002 150</t>
  </si>
  <si>
    <t>3th</t>
  </si>
  <si>
    <t>TPLL002</t>
  </si>
  <si>
    <t>Use Kelana Desktop</t>
  </si>
  <si>
    <t>Salimah Bt Noah</t>
  </si>
  <si>
    <t>70-D8-23-70-AD-50</t>
  </si>
  <si>
    <t>MP2EKP15</t>
  </si>
  <si>
    <t>NDTC2-H9BCG-CC8MJ-DHVQD-GF4D9 (TPDL002)</t>
  </si>
  <si>
    <t>1 355 606 371</t>
  </si>
  <si>
    <t>TPLL003</t>
  </si>
  <si>
    <t>Nor Shaila Bahrom</t>
  </si>
  <si>
    <t>70-D8-23-70-AE-27</t>
  </si>
  <si>
    <t>MP2EFTNQ</t>
  </si>
  <si>
    <t>1 623 480 510</t>
  </si>
  <si>
    <t>TPLL004</t>
  </si>
  <si>
    <t>Use Farah QC Laptop</t>
  </si>
  <si>
    <t>Fadhli Bin Hamisan</t>
  </si>
  <si>
    <t>70-D8-23-70-F2-EC</t>
  </si>
  <si>
    <t>MP2EFJZN</t>
  </si>
  <si>
    <t>MS Office 2016 (PC167)</t>
  </si>
  <si>
    <t>3N9VP-8PWJJ-9V74W-8FBHC-J44D9 (TPDL001)</t>
  </si>
  <si>
    <t>1 366 389 035</t>
  </si>
  <si>
    <t>TPLL005</t>
  </si>
  <si>
    <t>Leong Jia Yee</t>
  </si>
  <si>
    <t>70-D8-23-70-AD-B5</t>
  </si>
  <si>
    <t>MP2EF46H</t>
  </si>
  <si>
    <t>1 705 502 526</t>
  </si>
  <si>
    <t>TPLL006</t>
  </si>
  <si>
    <t>Use Afif Laptop</t>
  </si>
  <si>
    <t>70-D8-23-70-AD-D2</t>
  </si>
  <si>
    <t>MP2EF8KL</t>
  </si>
  <si>
    <t>9N8G6-2GFXW-6C4PJ-4HXG9-KQBQ9 (TPDL003)</t>
  </si>
  <si>
    <t>1 692 421 171</t>
  </si>
  <si>
    <t>TPLL007</t>
  </si>
  <si>
    <t>Ching Ann Ying</t>
  </si>
  <si>
    <t>70-D8-23-71-12-9A</t>
  </si>
  <si>
    <t>MP2EF6G1</t>
  </si>
  <si>
    <t>MS Office 2016 (PC161)</t>
  </si>
  <si>
    <t>GYTNJ-K9VG2-83THM-23GRB-B4G7X (TPLL007(</t>
  </si>
  <si>
    <t>1 962 001 288</t>
  </si>
  <si>
    <t>TPLL008</t>
  </si>
  <si>
    <t>Police Investigation</t>
  </si>
  <si>
    <t>Leo Aun Foo / Norizan</t>
  </si>
  <si>
    <t>70-D8-23-70-F3-5F</t>
  </si>
  <si>
    <t>MP2EFCY9</t>
  </si>
  <si>
    <t>1 820 890 911</t>
  </si>
  <si>
    <t>TPLL009</t>
  </si>
  <si>
    <t>Resigned</t>
  </si>
  <si>
    <t>Alice Lim / Suhaira</t>
  </si>
  <si>
    <t>70-D8-23-70-D7-D0</t>
  </si>
  <si>
    <t>MP2EF490</t>
  </si>
  <si>
    <t>1 739 761 504</t>
  </si>
  <si>
    <t>TPLL010</t>
  </si>
  <si>
    <t>REPAIR (Keyboard porb)</t>
  </si>
  <si>
    <t>Felix Lai</t>
  </si>
  <si>
    <t>70-D8-23-70-F3-78</t>
  </si>
  <si>
    <t>MP2EF49H</t>
  </si>
  <si>
    <t xml:space="preserve">Standard License </t>
  </si>
  <si>
    <t>1 749 140 047</t>
  </si>
  <si>
    <t>TPLL011</t>
  </si>
  <si>
    <t>REPAIR (Casing crack)</t>
  </si>
  <si>
    <t>Nor Suzila Binti Salem</t>
  </si>
  <si>
    <t>70-D8-23-70-F2-A1</t>
  </si>
  <si>
    <t>MP2EF8L5</t>
  </si>
  <si>
    <t>MS Office 2016 (PC146)</t>
  </si>
  <si>
    <t>D283Y-NB47F-F4F9D-42YV3-T6PMK (TPLL011)</t>
  </si>
  <si>
    <t>1 416 422 187</t>
  </si>
  <si>
    <t>TPLL012</t>
  </si>
  <si>
    <t>Muhamad Azrul Bin Azhar</t>
  </si>
  <si>
    <t>70-D8-23-70-AD-A0</t>
  </si>
  <si>
    <t>MP2EF8NP</t>
  </si>
  <si>
    <t>RPMBX-BNT6C-99WD9-JXKQG-YG9VX</t>
  </si>
  <si>
    <t>1 307 622 498</t>
  </si>
  <si>
    <t>TPLL013</t>
  </si>
  <si>
    <t>REPAIR (Fn Shortcut)</t>
  </si>
  <si>
    <t>70-D8-23-70-F3-7D</t>
  </si>
  <si>
    <t>MP2EFTPJ</t>
  </si>
  <si>
    <t>N2JFM-482WB-7RQCH-QC9KH-KHK76</t>
  </si>
  <si>
    <t>1 374 710 485</t>
  </si>
  <si>
    <t>TPLL014</t>
  </si>
  <si>
    <t>Use IT Label PC</t>
  </si>
  <si>
    <t>70-D8-23-70-AD-CD</t>
  </si>
  <si>
    <t>MP2EF8LD</t>
  </si>
  <si>
    <t>8NK88-FJXFB-TMFGJ-XG389-TF4D9</t>
  </si>
  <si>
    <t>226 891 643</t>
  </si>
  <si>
    <t>TPLL015</t>
  </si>
  <si>
    <t>Use Faizzudin Laptop</t>
  </si>
  <si>
    <t>70-D8-23-70-AD-9B</t>
  </si>
  <si>
    <t>MP2EFTNX</t>
  </si>
  <si>
    <t>KNWGH-TP2FQ-KRK2P-3BK96-9KXVX</t>
  </si>
  <si>
    <t>1 915 703 659</t>
  </si>
  <si>
    <t>TPLL016</t>
  </si>
  <si>
    <t>Sharanya A/P Ramanathan</t>
  </si>
  <si>
    <t>70-D8-23-70-F3-4B</t>
  </si>
  <si>
    <t>MP2EF8MP</t>
  </si>
  <si>
    <t>2NY28-JHMF7-8MVYW-9236W-HMH39 (TPLL016)</t>
  </si>
  <si>
    <t>1 134 759 167</t>
  </si>
  <si>
    <t>TPLL017</t>
  </si>
  <si>
    <t>Use Asset HP</t>
  </si>
  <si>
    <t>Muhammad Basyar</t>
  </si>
  <si>
    <t>70-D8-23-70-F3-19</t>
  </si>
  <si>
    <t>MP2EFCXK</t>
  </si>
  <si>
    <t>MS Office 2016 (PC200)</t>
  </si>
  <si>
    <t>N6H3G-B9T33-YVKYF-PP4VX-DYH39 (TPPC 200)</t>
  </si>
  <si>
    <t>1 122 394 678</t>
  </si>
  <si>
    <t>TPLL018</t>
  </si>
  <si>
    <t>Use Jefry Laptop</t>
  </si>
  <si>
    <t>Muhamad Saiful Syazuwan Bin Rahman</t>
  </si>
  <si>
    <t>70-D8-23-70-AE-31</t>
  </si>
  <si>
    <t>MP2EFAPL</t>
  </si>
  <si>
    <t>1 962 702 392</t>
  </si>
  <si>
    <t>TPLL019</t>
  </si>
  <si>
    <t>Siti Nur Atiqah</t>
  </si>
  <si>
    <t>70-D8-23-70-AD-91</t>
  </si>
  <si>
    <t>MP2EF45Q</t>
  </si>
  <si>
    <t>MS Office 2016 (PC158)</t>
  </si>
  <si>
    <t>HT76N-MW2KG-H688Y-6FKPT-WXCMK</t>
  </si>
  <si>
    <t>1 395 301 556</t>
  </si>
  <si>
    <t>TPLL020</t>
  </si>
  <si>
    <t>Use Akmal Laptop</t>
  </si>
  <si>
    <t>Shahiran</t>
  </si>
  <si>
    <t>70-D8-23-70-AD-78</t>
  </si>
  <si>
    <t>MP2EF8KT</t>
  </si>
  <si>
    <t>1 958 668 109</t>
  </si>
  <si>
    <t>TPLL021</t>
  </si>
  <si>
    <t>Use Amalina Spare Laptop</t>
  </si>
  <si>
    <t>Mazlind Bt Nordin</t>
  </si>
  <si>
    <t>70-D8-23-70-F2-F1</t>
  </si>
  <si>
    <t>MP2EF21K</t>
  </si>
  <si>
    <t xml:space="preserve">Basic License </t>
  </si>
  <si>
    <t>1 997 447 741</t>
  </si>
  <si>
    <t>TPLL022</t>
  </si>
  <si>
    <t>Ahmad Izzudin Bin Roslan</t>
  </si>
  <si>
    <t>01.08.2024</t>
  </si>
  <si>
    <t>31.07.2027</t>
  </si>
  <si>
    <t>2C-7B-A0-F8-27-80</t>
  </si>
  <si>
    <t>ThinkPad E14 Gen 6</t>
  </si>
  <si>
    <t>PF51SHA7</t>
  </si>
  <si>
    <t>MS Office 2016 (PC213)</t>
  </si>
  <si>
    <t>1 861 553 737</t>
  </si>
  <si>
    <t>TPLL023</t>
  </si>
  <si>
    <t>Syafiq Ateh</t>
  </si>
  <si>
    <t>Lenovo LOQ 15IRX9</t>
  </si>
  <si>
    <t>MP2HW28D</t>
  </si>
  <si>
    <t>16GB</t>
  </si>
  <si>
    <t>TPLL024</t>
  </si>
  <si>
    <t>C0-35-32-51-2B-91</t>
  </si>
  <si>
    <t>MP2HW28E</t>
  </si>
  <si>
    <t>MS Office 2016 (PC138)</t>
  </si>
  <si>
    <t>2DKN9-82K2R-KC7XC-MT8KQY4G7X</t>
  </si>
  <si>
    <t>1 704 303 946</t>
  </si>
  <si>
    <t>TPLL025</t>
  </si>
  <si>
    <t>Resigned - Returned 28092026</t>
  </si>
  <si>
    <t>Muhamad Azrul</t>
  </si>
  <si>
    <t>Puteri Nursyaera</t>
  </si>
  <si>
    <t>2C-7B-A0-F8-35-72</t>
  </si>
  <si>
    <t>PF51TA1F</t>
  </si>
  <si>
    <t>7YHB8 - YNKTK - X92C4 - B4BT8 - 33WYK  (TPPC207)</t>
  </si>
  <si>
    <t>1 464 227 377</t>
  </si>
  <si>
    <t>TPLL026</t>
  </si>
  <si>
    <t>Shahiran Abdul Sofi</t>
  </si>
  <si>
    <t>2C-7B-A0-FC-C4-25</t>
  </si>
  <si>
    <t>PF51SHBH</t>
  </si>
  <si>
    <t>MS Office 2019  (PC230)</t>
  </si>
  <si>
    <t>8N9W7-BCP4Y-QFVWT-QCC6V-KHK76 (PC230)</t>
  </si>
  <si>
    <t>1 646 458 333</t>
  </si>
  <si>
    <t>TPLL027</t>
  </si>
  <si>
    <t>Annisatul Ummah</t>
  </si>
  <si>
    <t>2C-7B-A0-FB-27-3F</t>
  </si>
  <si>
    <t>PF51TA4G</t>
  </si>
  <si>
    <t>2GJNV-2926K-38GCW-MCP6D-DV67X (PC196)</t>
  </si>
  <si>
    <t>1 638 415 431</t>
  </si>
  <si>
    <t>TPLL028</t>
  </si>
  <si>
    <t>Raudah Samian</t>
  </si>
  <si>
    <t>PF51TA32</t>
  </si>
  <si>
    <t>1 932 512 928</t>
  </si>
  <si>
    <t>TPLL029</t>
  </si>
  <si>
    <t>Metz</t>
  </si>
  <si>
    <t>82:07:e5:64:31:c2</t>
  </si>
  <si>
    <t>PF51SHCV</t>
  </si>
  <si>
    <t>NR49T-QM4YB-GVK4M-4F239-7XMQ9 (TPDL012)</t>
  </si>
  <si>
    <t>1 691 843 440</t>
  </si>
  <si>
    <t>TPLL030</t>
  </si>
  <si>
    <t>Ainna Dahlia</t>
  </si>
  <si>
    <t>Ignatius Ong</t>
  </si>
  <si>
    <t> </t>
  </si>
  <si>
    <t>PF51T9EN</t>
  </si>
  <si>
    <t>MS365</t>
  </si>
  <si>
    <t>1 455 896 202</t>
  </si>
  <si>
    <t>TPLL031</t>
  </si>
  <si>
    <t>From MacBook</t>
  </si>
  <si>
    <t>Chen YH</t>
  </si>
  <si>
    <t>ThinkPad E14 Gen 7</t>
  </si>
  <si>
    <t>PF-5HKXF2</t>
  </si>
  <si>
    <t>6th</t>
  </si>
  <si>
    <t>TPLL032</t>
  </si>
  <si>
    <t>Yusmadi B Ahmad</t>
  </si>
  <si>
    <t>PF-5HKA4J</t>
  </si>
  <si>
    <t>TPLL033</t>
  </si>
  <si>
    <t>Danial Bin Murad</t>
  </si>
  <si>
    <t>PF-5HNVSC</t>
  </si>
  <si>
    <t>7BDNB-2CT8R-XKJTV-6WMGW-7FTBK</t>
  </si>
  <si>
    <t>TPLL034</t>
  </si>
  <si>
    <t>PF5HNSHH</t>
  </si>
  <si>
    <t>TPLL035</t>
  </si>
  <si>
    <t>Mohd Ariff B Daud</t>
  </si>
  <si>
    <t>192.168.50.130</t>
  </si>
  <si>
    <t>E0-E2-58-50-C5-A3</t>
  </si>
  <si>
    <t>PF-5HKEL3</t>
  </si>
  <si>
    <t xml:space="preserve">1 232 302 535 </t>
  </si>
  <si>
    <t>TPLL036</t>
  </si>
  <si>
    <t xml:space="preserve">192.168.50.157 </t>
  </si>
  <si>
    <t>E0:E2:58:4F:8D:4B</t>
  </si>
  <si>
    <t>PF-5HKCC6</t>
  </si>
  <si>
    <t>TPLL037</t>
  </si>
  <si>
    <t>Suhaini Ab Rahman</t>
  </si>
  <si>
    <t>Siti Najwa</t>
  </si>
  <si>
    <t>192.168.50.78</t>
  </si>
  <si>
    <t>E0-E2-58-89-49-32</t>
  </si>
  <si>
    <t>PF-5HP2JQ</t>
  </si>
  <si>
    <t>4N866-M6WBP-672JF-7KWPJ-YP2MK</t>
  </si>
  <si>
    <t>TPLL038</t>
  </si>
  <si>
    <t>Fui Ling</t>
  </si>
  <si>
    <t>192.168.50.143</t>
  </si>
  <si>
    <t xml:space="preserve">E0-E2-58-4F-7B-53 </t>
  </si>
  <si>
    <t>PF-5HKCDH</t>
  </si>
  <si>
    <t>TPLL039</t>
  </si>
  <si>
    <t>SW Liew</t>
  </si>
  <si>
    <t>192.168.50.162</t>
  </si>
  <si>
    <t xml:space="preserve">E0-E2-58-50-C9-8B </t>
  </si>
  <si>
    <t>PF-5HK5J8</t>
  </si>
  <si>
    <t>TPLL040</t>
  </si>
  <si>
    <t>Cheong</t>
  </si>
  <si>
    <t>192.168.50.164</t>
  </si>
  <si>
    <t>E0-E2-58-89-48-42</t>
  </si>
  <si>
    <t>PF-5HNXZF</t>
  </si>
  <si>
    <t>TPLL041</t>
  </si>
  <si>
    <t>Laila Ramli</t>
  </si>
  <si>
    <t>192.168.50.167</t>
  </si>
  <si>
    <t xml:space="preserve">E0-E2-58-4F-8D-78 </t>
  </si>
  <si>
    <t>PF-5HKMCC</t>
  </si>
  <si>
    <t>TPLL042</t>
  </si>
  <si>
    <t xml:space="preserve"> Vacant</t>
  </si>
  <si>
    <t>192.168.50.166</t>
  </si>
  <si>
    <t xml:space="preserve">E0-E2-58-8A-7B-18 </t>
  </si>
  <si>
    <t>PF-5HNVS0</t>
  </si>
  <si>
    <t>TPLL043</t>
  </si>
  <si>
    <t>Suzila</t>
  </si>
  <si>
    <t>192.168.50.168</t>
  </si>
  <si>
    <t xml:space="preserve">E0-E2-58-50-C4-90 </t>
  </si>
  <si>
    <t>PF-5HKELQ</t>
  </si>
  <si>
    <t>TPLL044</t>
  </si>
  <si>
    <t>Tan See Yin</t>
  </si>
  <si>
    <t>Abbyy Gee</t>
  </si>
  <si>
    <t>192.168.50.170</t>
  </si>
  <si>
    <t xml:space="preserve">E0-E2-58-8A-6E-AC </t>
  </si>
  <si>
    <t>PF-5HNXZS</t>
  </si>
  <si>
    <t>1 870 584 122</t>
  </si>
  <si>
    <t>TPLL045</t>
  </si>
  <si>
    <t>FS Tok</t>
  </si>
  <si>
    <t>192.168.50.171</t>
  </si>
  <si>
    <t>E0-E2-58-BF-7D-F4</t>
  </si>
  <si>
    <t>PF-5HP07J</t>
  </si>
  <si>
    <t>TPLL046</t>
  </si>
  <si>
    <t>192.168.50.173</t>
  </si>
  <si>
    <t>0-E2-58-50-C5-76</t>
  </si>
  <si>
    <t>PF-5HKZMX</t>
  </si>
  <si>
    <t>192.168.50.2</t>
  </si>
  <si>
    <t>B0-22-7A-DA-A3-48</t>
  </si>
  <si>
    <t>5CD1136XX</t>
  </si>
  <si>
    <t xml:space="preserve">                                                                                        </t>
  </si>
  <si>
    <t>LAPTOP USE</t>
  </si>
  <si>
    <t>PC USE</t>
  </si>
  <si>
    <t>LAPTOP KEEP</t>
  </si>
  <si>
    <t>PC KEEP</t>
  </si>
  <si>
    <t>OTW DISPOSE</t>
  </si>
  <si>
    <t>PC/LAPTOP NO FOUND</t>
  </si>
  <si>
    <t>PC / LAPTOP DISPOSED</t>
  </si>
  <si>
    <t>PC/LAPTOP REPAIR</t>
  </si>
  <si>
    <t>TOTAL</t>
  </si>
  <si>
    <t>Reserved</t>
  </si>
  <si>
    <t>Benjamin (Last 18/6/26)</t>
  </si>
  <si>
    <t>Najwa (Last 18/5/26)</t>
  </si>
  <si>
    <t>Change to ThinkPad RW</t>
  </si>
  <si>
    <t>Nurul Izaan</t>
  </si>
  <si>
    <t>Norizan Binti Mat Ail</t>
  </si>
  <si>
    <t>Leo Aun Foo</t>
  </si>
  <si>
    <t>Azrul</t>
  </si>
  <si>
    <t>Karen Boo</t>
  </si>
  <si>
    <t>Share with Afif</t>
  </si>
  <si>
    <t>Change to Asset</t>
  </si>
  <si>
    <t>Item</t>
  </si>
  <si>
    <t>PC Name</t>
  </si>
  <si>
    <t>Serial Number</t>
  </si>
  <si>
    <t>CPU</t>
  </si>
  <si>
    <t>TPDL001</t>
  </si>
  <si>
    <t>S4CE234B4GF</t>
  </si>
  <si>
    <t>HP Pro Tower 400 G9</t>
  </si>
  <si>
    <t>Monitor</t>
  </si>
  <si>
    <t>Nur Hazirah</t>
  </si>
  <si>
    <t>CN42323ZNN</t>
  </si>
  <si>
    <t>HP P22va G4 FHD Monitor</t>
  </si>
  <si>
    <t>Keyboard</t>
  </si>
  <si>
    <t>BKSZU0BCPGW13T</t>
  </si>
  <si>
    <t>HP 125 Wired Keyboard US</t>
  </si>
  <si>
    <t>Mouse</t>
  </si>
  <si>
    <t>FKTFR0AHDGXWM5</t>
  </si>
  <si>
    <t>HP 125 Wired Mouse</t>
  </si>
  <si>
    <t>TPDL002</t>
  </si>
  <si>
    <t>S4CE234B6CY</t>
  </si>
  <si>
    <t>CN42323ZPJ</t>
  </si>
  <si>
    <t>BKSZU0BUEGU6P7</t>
  </si>
  <si>
    <t>FKTFR0AHDGXWH0</t>
  </si>
  <si>
    <t>TPDL003</t>
  </si>
  <si>
    <t>S4CE234B6CM</t>
  </si>
  <si>
    <t>Shahida</t>
  </si>
  <si>
    <t>CN42323ZPL</t>
  </si>
  <si>
    <t>BKSZU0BUEGU6T5</t>
  </si>
  <si>
    <t>FKTFR0AHDGXWH7</t>
  </si>
  <si>
    <t>TPDL004</t>
  </si>
  <si>
    <t>S4CE234B6C7</t>
  </si>
  <si>
    <t>Suhaini</t>
  </si>
  <si>
    <t>CN42323ZPX</t>
  </si>
  <si>
    <t>BKSZU0BCPGW0WQ</t>
  </si>
  <si>
    <t>FKTFR0AHDGXWHS</t>
  </si>
  <si>
    <t>TPDL005</t>
  </si>
  <si>
    <t>S4CE234B6C4</t>
  </si>
  <si>
    <t>CN42323ZPM</t>
  </si>
  <si>
    <t>BKSZU0BUEGU6PP</t>
  </si>
  <si>
    <t>FKTFR0AHDGXWHN</t>
  </si>
  <si>
    <t>TPDL006</t>
  </si>
  <si>
    <t>S4CE234B6BS</t>
  </si>
  <si>
    <t>CN42323ZQP</t>
  </si>
  <si>
    <t>BKSZU0BUEGU6T2</t>
  </si>
  <si>
    <t>FKTFR0AHDGXWI3</t>
  </si>
  <si>
    <t>TPDL007</t>
  </si>
  <si>
    <t>S4CE234B6C3</t>
  </si>
  <si>
    <t>Nur Faezah</t>
  </si>
  <si>
    <t>CN42323ZQ6</t>
  </si>
  <si>
    <t>BKSZU0BUEGU6SY</t>
  </si>
  <si>
    <t>FKTFR0AHDGXWH1</t>
  </si>
  <si>
    <t>TPDL008</t>
  </si>
  <si>
    <t>S4CE234B6BK</t>
  </si>
  <si>
    <t>CN42323ZPR</t>
  </si>
  <si>
    <t>BKSZU0BUEGU6SV</t>
  </si>
  <si>
    <t>FKTFR0AHDGXWHM</t>
  </si>
  <si>
    <t>TPDL009</t>
  </si>
  <si>
    <t>S4CE234B6CT</t>
  </si>
  <si>
    <t>CN42323ZK7</t>
  </si>
  <si>
    <t>BKSZU0BUEGU6UG</t>
  </si>
  <si>
    <t>FKTFR0AHDGXGLQ</t>
  </si>
  <si>
    <t>TPDL010</t>
  </si>
  <si>
    <t>S4CE234B8MM</t>
  </si>
  <si>
    <t>Kerio Mail</t>
  </si>
  <si>
    <t>Terennce</t>
  </si>
  <si>
    <t>BKSZU0BCPGW13U</t>
  </si>
  <si>
    <t>FKTFROAHDGXHZZ</t>
  </si>
  <si>
    <t>TPDL011</t>
  </si>
  <si>
    <t>S4CE234B6CG</t>
  </si>
  <si>
    <t>Alice</t>
  </si>
  <si>
    <t>CN42323ZPD</t>
  </si>
  <si>
    <t>BKSZU0BUEGU6UF</t>
  </si>
  <si>
    <t>FKTFR0AHDGXWMS</t>
  </si>
  <si>
    <t>TPDL012</t>
  </si>
  <si>
    <t>S4CE234B09N</t>
  </si>
  <si>
    <t>Mazlin</t>
  </si>
  <si>
    <t>CN42323ZPQ</t>
  </si>
  <si>
    <t>BKSZU0BUEGU6PH</t>
  </si>
  <si>
    <t>FKTFR0AHDGXWIO</t>
  </si>
  <si>
    <t>TPDL013</t>
  </si>
  <si>
    <t>S4CE234B6CN</t>
  </si>
  <si>
    <t>Rohaya / Ayu</t>
  </si>
  <si>
    <t>CN42323ZP7</t>
  </si>
  <si>
    <t>BKSZU0BUEGU6SW</t>
  </si>
  <si>
    <t>FKTFR0AHDGXWHA</t>
  </si>
  <si>
    <t>TPDL014</t>
  </si>
  <si>
    <t>S4CE234B8MZ</t>
  </si>
  <si>
    <t>Norlin</t>
  </si>
  <si>
    <t>CN42323ZPH</t>
  </si>
  <si>
    <t>BKSZU0BUEGU6FP</t>
  </si>
  <si>
    <t>FKTFR0AHDGXI1L</t>
  </si>
  <si>
    <t>TPDL015</t>
  </si>
  <si>
    <t>S4CE234B8N1</t>
  </si>
  <si>
    <t>CN42323ZQ7</t>
  </si>
  <si>
    <t>BKSZU0BUEGU6FO</t>
  </si>
  <si>
    <t>FKTFR0AHDGXI1P</t>
  </si>
  <si>
    <t>TPDL016</t>
  </si>
  <si>
    <t>S4CE234B6C9</t>
  </si>
  <si>
    <t>Mustaqim</t>
  </si>
  <si>
    <t>CN42323ZPN</t>
  </si>
  <si>
    <t>BKSZU0BUEGU6PG</t>
  </si>
  <si>
    <t>FKTFR0AHDGXWHR</t>
  </si>
  <si>
    <t>TPDL017</t>
  </si>
  <si>
    <t>S4CE234B6CS</t>
  </si>
  <si>
    <t>Sharon Tie</t>
  </si>
  <si>
    <t>CN42323ZPK</t>
  </si>
  <si>
    <t>BKSZU0BUEGU6T0</t>
  </si>
  <si>
    <t>FKTFR0AHDGXWHB</t>
  </si>
  <si>
    <t>TPDL018</t>
  </si>
  <si>
    <t>S4CE234B0B2</t>
  </si>
  <si>
    <t>Loh Kok</t>
  </si>
  <si>
    <t>CN42323ZQ5</t>
  </si>
  <si>
    <t>BKSZU0BUEGU699</t>
  </si>
  <si>
    <t>FKTFR0AHDGXWJ4</t>
  </si>
  <si>
    <t>TPDL019</t>
  </si>
  <si>
    <t>S4CE234B6BM</t>
  </si>
  <si>
    <t>Nur Nadia</t>
  </si>
  <si>
    <t>CN42323ZQD</t>
  </si>
  <si>
    <t>BKSZU0BUEGU6SX</t>
  </si>
  <si>
    <t>FKTFR0AHDGXWM2</t>
  </si>
  <si>
    <t>TPDL020</t>
  </si>
  <si>
    <t>S4CE234B09Z</t>
  </si>
  <si>
    <t>Norlezar/Zubaidah</t>
  </si>
  <si>
    <t>CN42323ZPG</t>
  </si>
  <si>
    <t>BKSZU0BUEGU6FT</t>
  </si>
  <si>
    <t>FKTFR0AHDGXGM0</t>
  </si>
  <si>
    <t>TPDL021</t>
  </si>
  <si>
    <t>S4CE234B6CX</t>
  </si>
  <si>
    <t>Norhana</t>
  </si>
  <si>
    <t>CN42323ZPZ</t>
  </si>
  <si>
    <t>BKSZU0BUEGU6PC</t>
  </si>
  <si>
    <t>FKTFR0AHDGXWGS</t>
  </si>
  <si>
    <t>TPDL022</t>
  </si>
  <si>
    <t>S4CE234B5YV</t>
  </si>
  <si>
    <t>Amirul Adha</t>
  </si>
  <si>
    <t>CN42323ZPV</t>
  </si>
  <si>
    <t>BKSZU0BUEGU6F6</t>
  </si>
  <si>
    <t>FKTFR0AHDGXHZN</t>
  </si>
  <si>
    <t>TPDL023</t>
  </si>
  <si>
    <t>S4CE234B6D4</t>
  </si>
  <si>
    <t>Faizuddin QC</t>
  </si>
  <si>
    <t>CN42323ZQH</t>
  </si>
  <si>
    <t>BKSZU0BUEGU69A</t>
  </si>
  <si>
    <t>FKTFR0AHDGXWH2</t>
  </si>
  <si>
    <t>TPDL024</t>
  </si>
  <si>
    <t>S4CE234B6BY</t>
  </si>
  <si>
    <t>CN42323ZPT</t>
  </si>
  <si>
    <t>BKSZU0BUEGU6UH</t>
  </si>
  <si>
    <t>FKTFR0AHDGXWMI</t>
  </si>
  <si>
    <t>TPDL025</t>
  </si>
  <si>
    <t>S4CE234B5YY</t>
  </si>
  <si>
    <t>Jefri Din QC</t>
  </si>
  <si>
    <t>CN42323ZQJ</t>
  </si>
  <si>
    <t>BKSZU0BUEGU6AD</t>
  </si>
  <si>
    <t>9CP23O1WPQ</t>
  </si>
  <si>
    <t>TPDL026</t>
  </si>
  <si>
    <t>S4CE234B6CZ</t>
  </si>
  <si>
    <t>CN42323ZQQ</t>
  </si>
  <si>
    <t>BKSZU0BUEGU6TI</t>
  </si>
  <si>
    <t>FKTFR0AHDGXWHC</t>
  </si>
  <si>
    <t>TPDL027</t>
  </si>
  <si>
    <t>S4CE234B5YF</t>
  </si>
  <si>
    <t>Nadzirah Zaini</t>
  </si>
  <si>
    <t>BKSZU0BUEGU6BM</t>
  </si>
  <si>
    <t>FKTFR0AHDGXHZM</t>
  </si>
  <si>
    <t>TPDL028</t>
  </si>
  <si>
    <t>S4CE234B4GS</t>
  </si>
  <si>
    <t>Kaha Fakhrul Aidil</t>
  </si>
  <si>
    <t>BKSZU0BCPGW13Z</t>
  </si>
  <si>
    <t>FKTFR0AHDGXWMH</t>
  </si>
  <si>
    <t>TPDL029</t>
  </si>
  <si>
    <t>S4CE234B8KF</t>
  </si>
  <si>
    <t>CN42323ZPW</t>
  </si>
  <si>
    <t>Account</t>
  </si>
  <si>
    <t>BKSZU0BUEGU6FN</t>
  </si>
  <si>
    <t>FKTFR0AHDGXI1M</t>
  </si>
  <si>
    <t>TPDL030</t>
  </si>
  <si>
    <t>TPDL031</t>
  </si>
  <si>
    <t>TOMYPAK FLEXIBLE PACKAGING SDN BHD</t>
  </si>
  <si>
    <t xml:space="preserve">PC LIST </t>
  </si>
  <si>
    <t>Item no.</t>
  </si>
  <si>
    <t>Switch</t>
  </si>
  <si>
    <t>Port</t>
  </si>
  <si>
    <t>Cable ID</t>
  </si>
  <si>
    <t>Location</t>
  </si>
  <si>
    <t>IP Adress</t>
  </si>
  <si>
    <t>Hz</t>
  </si>
  <si>
    <t>Other App. Installed</t>
  </si>
  <si>
    <t>Other App. Installed Key</t>
  </si>
  <si>
    <t>PC69</t>
  </si>
  <si>
    <t>SW11.3</t>
  </si>
  <si>
    <t>1F09</t>
  </si>
  <si>
    <t>CE-00045A01-13</t>
  </si>
  <si>
    <t>Narkeran</t>
  </si>
  <si>
    <t>Senai</t>
  </si>
  <si>
    <t>Accounts</t>
  </si>
  <si>
    <t>Main Office</t>
  </si>
  <si>
    <t>192.168.20.143</t>
  </si>
  <si>
    <t>7446A09B8090</t>
  </si>
  <si>
    <t>HP Compaq Pro 3330 MT</t>
  </si>
  <si>
    <t>SGH332RCR7</t>
  </si>
  <si>
    <t>MS Windows 7 Pro 32 bits</t>
  </si>
  <si>
    <t>Activation ID:00371-OEM-8992671-00008</t>
  </si>
  <si>
    <t>Core i3-3220</t>
  </si>
  <si>
    <t>3.3GHz</t>
  </si>
  <si>
    <t>500GB SATA</t>
  </si>
  <si>
    <t>BNWF6-TQ7W6-FJ9R8-T4FYF-BY2XD</t>
  </si>
  <si>
    <t>PC123</t>
  </si>
  <si>
    <t>1F33</t>
  </si>
  <si>
    <t>CE-00043A01-13</t>
  </si>
  <si>
    <t>Izzati Liyana</t>
  </si>
  <si>
    <t>192.168.20.139</t>
  </si>
  <si>
    <t>8851FB4ED9E1</t>
  </si>
  <si>
    <t xml:space="preserve">HP </t>
  </si>
  <si>
    <t>SGH318QZRB</t>
  </si>
  <si>
    <t>MS Windows 7 Pro 64-bits</t>
  </si>
  <si>
    <t>Activation ID: 00371-OEM-8992671-00008</t>
  </si>
  <si>
    <t>WBNDG-QFDQY-QT29X-QCVB6-BPW9D</t>
  </si>
  <si>
    <t>PC127</t>
  </si>
  <si>
    <t>1F39</t>
  </si>
  <si>
    <t>CE-00053A01-14</t>
  </si>
  <si>
    <t>Jenny</t>
  </si>
  <si>
    <t>192.168.20.140</t>
  </si>
  <si>
    <t>9CB654E98C46</t>
  </si>
  <si>
    <t>HP Compaq P400 G1</t>
  </si>
  <si>
    <t>SGH407TKZL</t>
  </si>
  <si>
    <t>Core i3-4130</t>
  </si>
  <si>
    <t>3.40GHz</t>
  </si>
  <si>
    <t>V67TX-NHY7P-TRY9M-3T8TV-KHGKD</t>
  </si>
  <si>
    <t>PC142</t>
  </si>
  <si>
    <t>NA</t>
  </si>
  <si>
    <t>CE-00081A01-17</t>
  </si>
  <si>
    <t>Nada</t>
  </si>
  <si>
    <t>192.168.20.136</t>
  </si>
  <si>
    <t>484D7ED2E58A</t>
  </si>
  <si>
    <t>1PC81H2</t>
  </si>
  <si>
    <t>A02P/NJWDXX-WXFV6CDE</t>
  </si>
  <si>
    <t>2.5GHz</t>
  </si>
  <si>
    <t>9BH7B-NWR24-2KVCD-WD94G-XQBQ9</t>
  </si>
  <si>
    <t>PC149</t>
  </si>
  <si>
    <t>1F38</t>
  </si>
  <si>
    <t>CE-00088A01-17</t>
  </si>
  <si>
    <t>YX Looi</t>
  </si>
  <si>
    <t>192.168.20.137</t>
  </si>
  <si>
    <t>484D7ED2DEF6</t>
  </si>
  <si>
    <t>1PG71H2</t>
  </si>
  <si>
    <t>MY05KWV9M06976C20697</t>
  </si>
  <si>
    <t>R7TMT-NTMHB-B72Q4-Y87F3-63BQ9</t>
  </si>
  <si>
    <t>PC153</t>
  </si>
  <si>
    <t>1F37</t>
  </si>
  <si>
    <t>CE-00092A01-17</t>
  </si>
  <si>
    <t>CK YAP</t>
  </si>
  <si>
    <t>PC163</t>
  </si>
  <si>
    <t>CE-00102A01-17</t>
  </si>
  <si>
    <t>Amani</t>
  </si>
  <si>
    <t>192.168.20.144</t>
  </si>
  <si>
    <t>484D7ED31304</t>
  </si>
  <si>
    <t>1PQ31H2</t>
  </si>
  <si>
    <t>MY05KWV9M06976C20994</t>
  </si>
  <si>
    <t>PC167</t>
  </si>
  <si>
    <t>1F36</t>
  </si>
  <si>
    <t>CE-00106A01-17</t>
  </si>
  <si>
    <t>Lela</t>
  </si>
  <si>
    <t>192.168.20.138</t>
  </si>
  <si>
    <t>484D7ED30F7E</t>
  </si>
  <si>
    <t>1PTB1H2</t>
  </si>
  <si>
    <t>MY05KWV9M06976C2098F</t>
  </si>
  <si>
    <t>3N9VP-8PWJJ-9V74W-8FBHC-J44D9</t>
  </si>
  <si>
    <t>PC191</t>
  </si>
  <si>
    <t>CE-00157A01-17</t>
  </si>
  <si>
    <t>Fusoon</t>
  </si>
  <si>
    <t>192.168.20.182</t>
  </si>
  <si>
    <t>1860244A644A</t>
  </si>
  <si>
    <t>5CG7322FZP</t>
  </si>
  <si>
    <t>Windows 10 Pro 64Bits</t>
  </si>
  <si>
    <t>00330-50615-54049-AAOEM</t>
  </si>
  <si>
    <t>2.7GHz</t>
  </si>
  <si>
    <t>B2J4F-N49KD-XK4FC-98GK3-2WGBK</t>
  </si>
  <si>
    <t>PC192</t>
  </si>
  <si>
    <t>CE-00158A01-17</t>
  </si>
  <si>
    <t>Mavis Chin</t>
  </si>
  <si>
    <t>192.168.20.117</t>
  </si>
  <si>
    <t>1860244A744F</t>
  </si>
  <si>
    <t>PC197</t>
  </si>
  <si>
    <t>1F40</t>
  </si>
  <si>
    <t>CE-00219A01-18</t>
  </si>
  <si>
    <t>JH Lim</t>
  </si>
  <si>
    <t>3.41Ghz</t>
  </si>
  <si>
    <t>PC13</t>
  </si>
  <si>
    <t>1F10</t>
  </si>
  <si>
    <t>OE-06-0040/26</t>
  </si>
  <si>
    <t>Ikmal</t>
  </si>
  <si>
    <t>Admin</t>
  </si>
  <si>
    <t>192.168.20.160</t>
  </si>
  <si>
    <t>001676d424e4</t>
  </si>
  <si>
    <t>Dell Dimension 3100</t>
  </si>
  <si>
    <t>GGLPM1S (Express Code: 35832443104)</t>
  </si>
  <si>
    <t>MS Windows XP Pro</t>
  </si>
  <si>
    <t>V9KCY-22K2B-XYTP9-R8CFC-PP26B</t>
  </si>
  <si>
    <t>Pentium IV</t>
  </si>
  <si>
    <t>3.06GHz</t>
  </si>
  <si>
    <t>512MB</t>
  </si>
  <si>
    <t>x80GB500GB</t>
  </si>
  <si>
    <t>MS Office 2003 (SBE) x installed</t>
  </si>
  <si>
    <t>C33C8-9262V-CBHFH-G26HW-K4YR6</t>
  </si>
  <si>
    <t>Ms Office Small Biz 2007 WITH SP3</t>
  </si>
  <si>
    <t>K9DXK-BG7WJ-BRMB3-MV7QB-VTXX8</t>
  </si>
  <si>
    <t>PC23</t>
  </si>
  <si>
    <t>1F26</t>
  </si>
  <si>
    <t>CE-00044A01-13</t>
  </si>
  <si>
    <t>Hafizan</t>
  </si>
  <si>
    <t>192.168.20.162</t>
  </si>
  <si>
    <t>8851FB4CB843</t>
  </si>
  <si>
    <t>SGH316Q726</t>
  </si>
  <si>
    <t>MS Windows 7 Pro 64 bits</t>
  </si>
  <si>
    <t>3.30GHz</t>
  </si>
  <si>
    <t>TVYTQ-GHNG2-T24CP-3GR82-Q3TKD</t>
  </si>
  <si>
    <t>PC115</t>
  </si>
  <si>
    <t>OE11-022/11</t>
  </si>
  <si>
    <t>192.168.21.132</t>
  </si>
  <si>
    <t>484D7ED3169D</t>
  </si>
  <si>
    <t>HP Compaq Pro 3000 MT</t>
  </si>
  <si>
    <t>SGH109RDDF</t>
  </si>
  <si>
    <t>MS Windows 7 Pro</t>
  </si>
  <si>
    <t>26KY9-JXVFR-HJP9R-GGR87-76TQ2</t>
  </si>
  <si>
    <t>Pentium Dual Core E5800</t>
  </si>
  <si>
    <t>3.00GHz</t>
  </si>
  <si>
    <t>1GB DDR3</t>
  </si>
  <si>
    <t>MS Office Home &amp; Business 2010 Full Pack</t>
  </si>
  <si>
    <t>4829P-X4MGV-D8DQ8-7QBXH-DWKRG</t>
  </si>
  <si>
    <t>PC172</t>
  </si>
  <si>
    <t>CE-00111A01-17</t>
  </si>
  <si>
    <t>Sanju</t>
  </si>
  <si>
    <t>192.168.0.73</t>
  </si>
  <si>
    <t>484D7ED3199D</t>
  </si>
  <si>
    <t>1Q231H2</t>
  </si>
  <si>
    <t>MY05KWV9M06976C2069E</t>
  </si>
  <si>
    <t>2QYNQ-67HP2-7D6C8-YDVTH-FJRD9</t>
  </si>
  <si>
    <t>PC27</t>
  </si>
  <si>
    <t>SW11.6</t>
  </si>
  <si>
    <t>3</t>
  </si>
  <si>
    <t>D03</t>
  </si>
  <si>
    <t>OE-06-0035/25</t>
  </si>
  <si>
    <t>Ismalizam</t>
  </si>
  <si>
    <t>Bag Making</t>
  </si>
  <si>
    <t>Bag Making Office</t>
  </si>
  <si>
    <t>192.168.21.12</t>
  </si>
  <si>
    <t>001676D12D05</t>
  </si>
  <si>
    <t>6FPCM1S (Express Code: 14010265504)</t>
  </si>
  <si>
    <t>GMY26-PH6MC-FMJ78-7VQRG-JXR4G</t>
  </si>
  <si>
    <t>1GB</t>
  </si>
  <si>
    <t>MS Office 2003 (SBE)</t>
  </si>
  <si>
    <t>T9BTB-P982P-WXXCH-H9J9X-6V746</t>
  </si>
  <si>
    <t>PC71</t>
  </si>
  <si>
    <t>OE08-037/31</t>
  </si>
  <si>
    <t>Asilah</t>
  </si>
  <si>
    <t>192.168.0.154</t>
  </si>
  <si>
    <t>00215A1D388E</t>
  </si>
  <si>
    <t>HP Compaq dx2710 MT</t>
  </si>
  <si>
    <t>SGH8300K8T</t>
  </si>
  <si>
    <t>XHTXV-K96XQ-YPMGD-99K66-V47V2</t>
  </si>
  <si>
    <t>Pentium Dual</t>
  </si>
  <si>
    <t>2.20GHz</t>
  </si>
  <si>
    <t>160GB</t>
  </si>
  <si>
    <t>MS Office 2007 (SBE OEM Pack)</t>
  </si>
  <si>
    <t>XR7MX-6YH8Q-HGPMW-G4TQ3-PW2CJ</t>
  </si>
  <si>
    <t>PC92</t>
  </si>
  <si>
    <t>OE09-024/17</t>
  </si>
  <si>
    <t>Bmengineer (Hidayah)</t>
  </si>
  <si>
    <t>192.168.21.22</t>
  </si>
  <si>
    <t>HP Compaq dx2810 MT</t>
  </si>
  <si>
    <t>SGH9280079</t>
  </si>
  <si>
    <t>7MJ6F-HXKFB-VWWJ4-BTGHR-QCHHK</t>
  </si>
  <si>
    <t>Pentium Dual Core</t>
  </si>
  <si>
    <t>2.50GHz</t>
  </si>
  <si>
    <t>250GB</t>
  </si>
  <si>
    <t>C9D8V-GPW3K-KXWTY-TV896-8BHBD</t>
  </si>
  <si>
    <t>WinRAR</t>
  </si>
  <si>
    <t>License #3 of 10</t>
  </si>
  <si>
    <t>PC102</t>
  </si>
  <si>
    <t>OE10-024/18</t>
  </si>
  <si>
    <t>Eddie Lim</t>
  </si>
  <si>
    <t>BOD</t>
  </si>
  <si>
    <t>192.168.20.113</t>
  </si>
  <si>
    <t>705AB6B53C06</t>
  </si>
  <si>
    <t>HP Compaq 8540W</t>
  </si>
  <si>
    <t>CND02700YX</t>
  </si>
  <si>
    <t>CPWCD-2RRJB-8XTHW-XCCVK-JD27B</t>
  </si>
  <si>
    <t>Pentium Core i7-620M</t>
  </si>
  <si>
    <t>2.66GHz</t>
  </si>
  <si>
    <t>BBKWC-W33P7-8D7KW-DDR7M-G82Q8</t>
  </si>
  <si>
    <t>PC64</t>
  </si>
  <si>
    <t>OE-09-031/22</t>
  </si>
  <si>
    <t>KEEP</t>
  </si>
  <si>
    <t>CPP Operation Room*</t>
  </si>
  <si>
    <t>CPP Operation Room</t>
  </si>
  <si>
    <t>SGH9420628</t>
  </si>
  <si>
    <t>TK47B-32JJT-MBX3C-FQWY7-PM328</t>
  </si>
  <si>
    <t xml:space="preserve">Pentium </t>
  </si>
  <si>
    <t>2.93GHz</t>
  </si>
  <si>
    <t>320GB</t>
  </si>
  <si>
    <t>CF2K4-YXQK7-VY4QW-HG2YV-Y6XYG</t>
  </si>
  <si>
    <t>PC82</t>
  </si>
  <si>
    <t>OE09-007/06</t>
  </si>
  <si>
    <t>Aziz</t>
  </si>
  <si>
    <t>CPP Office</t>
  </si>
  <si>
    <t>HP Compaq dx2810 MT 250W</t>
  </si>
  <si>
    <t>SGH9030843</t>
  </si>
  <si>
    <t>KHXJ6-TKGMG-VY2KM-X764J-3MCCR</t>
  </si>
  <si>
    <t>P997K-DDM2D-7T2D3-YDT7B-97DK8</t>
  </si>
  <si>
    <t>PC199</t>
  </si>
  <si>
    <t>CE-00220A01-18</t>
  </si>
  <si>
    <t>Afiah / Maira</t>
  </si>
  <si>
    <t>192.168.21.192</t>
  </si>
  <si>
    <t>8CEC4B5D8198</t>
  </si>
  <si>
    <t>710W9P2</t>
  </si>
  <si>
    <t>WILL ENTER LATER</t>
  </si>
  <si>
    <t>NDTC2-H9BCG-CC8MJ-DHVQD-GF4D9</t>
  </si>
  <si>
    <t>PC05</t>
  </si>
  <si>
    <t>CE-00049A01-13</t>
  </si>
  <si>
    <t>James Teoh</t>
  </si>
  <si>
    <t>Flexo</t>
  </si>
  <si>
    <t>Flexo Office</t>
  </si>
  <si>
    <t>192.168.20.203</t>
  </si>
  <si>
    <t>7446A09BAA45</t>
  </si>
  <si>
    <t>SGH334SDZ6</t>
  </si>
  <si>
    <t>Activation ID:55041-033-4675706-86495</t>
  </si>
  <si>
    <t>968RX-XNMY3-VRR4WB-VQDPD-628C3</t>
  </si>
  <si>
    <t>PC203</t>
  </si>
  <si>
    <t>CE-00234A01-18</t>
  </si>
  <si>
    <t>David Foo</t>
  </si>
  <si>
    <t>192.168.20.131</t>
  </si>
  <si>
    <t>54B2030449F0</t>
  </si>
  <si>
    <t>1.6ghz/1.8ghz</t>
  </si>
  <si>
    <t>PC207</t>
  </si>
  <si>
    <t>CE-00238A01-18</t>
  </si>
  <si>
    <t>Flexo (Amirul)</t>
  </si>
  <si>
    <t>PC52</t>
  </si>
  <si>
    <t>SW11.5</t>
  </si>
  <si>
    <t>1F58</t>
  </si>
  <si>
    <t>CE-00004A01-11</t>
  </si>
  <si>
    <t>Atikah</t>
  </si>
  <si>
    <t>HR</t>
  </si>
  <si>
    <t>HR Office</t>
  </si>
  <si>
    <t>192.168.20.149</t>
  </si>
  <si>
    <t>78E3B59D045B</t>
  </si>
  <si>
    <t>HP Pro 3000 MT</t>
  </si>
  <si>
    <t>SGH138PGG1</t>
  </si>
  <si>
    <t>H6H86-Y2HXC-VWCFD-HCWY6-8D2CM</t>
  </si>
  <si>
    <t>3.20GHz</t>
  </si>
  <si>
    <t>2GB DDR3</t>
  </si>
  <si>
    <t>FJGGY-FYCXF-6GG7T-P6HPB-X79XG</t>
  </si>
  <si>
    <t>PC56</t>
  </si>
  <si>
    <t>CE-00038A01-12</t>
  </si>
  <si>
    <t>Aitine</t>
  </si>
  <si>
    <t>Mobile</t>
  </si>
  <si>
    <t>192.168.20.155</t>
  </si>
  <si>
    <t>E4115B5BA837</t>
  </si>
  <si>
    <t>Compaq 4430 Notebook</t>
  </si>
  <si>
    <t>CNU2211C0R</t>
  </si>
  <si>
    <t>YTWWWP-JT68Y-CQRKG-B36C3-TJJD3</t>
  </si>
  <si>
    <t>Intel Core i3-2370M</t>
  </si>
  <si>
    <t>2.40GHz</t>
  </si>
  <si>
    <t>MS Office 2010 (SBE OEM Pack)</t>
  </si>
  <si>
    <t>8996G-464YY-T7HGY-F24MW-C7B9M</t>
  </si>
  <si>
    <t>PC83</t>
  </si>
  <si>
    <t>CE-00046A01-13</t>
  </si>
  <si>
    <t>192.168.20.151</t>
  </si>
  <si>
    <t>7446A09B8035</t>
  </si>
  <si>
    <t>SGH332RNCF</t>
  </si>
  <si>
    <t>KHC8K-4Q36K-G2QC4-VVW4P-MQ3P2</t>
  </si>
  <si>
    <t>PC104</t>
  </si>
  <si>
    <t>OE10-031/24</t>
  </si>
  <si>
    <t>Hani</t>
  </si>
  <si>
    <t>192.168.0.195</t>
  </si>
  <si>
    <t>6C626D6C7551</t>
  </si>
  <si>
    <t>SGH036T2MX</t>
  </si>
  <si>
    <t>TH3Y7-9468P-PWGK3-CJRPK-D9T77</t>
  </si>
  <si>
    <t>2.80GHz</t>
  </si>
  <si>
    <t>320GB SATA</t>
  </si>
  <si>
    <t>H2968-7TKJC-PF8BR-C3HPX-9JCR7</t>
  </si>
  <si>
    <t>PC107</t>
  </si>
  <si>
    <t>1F08</t>
  </si>
  <si>
    <t>OE10-038/29</t>
  </si>
  <si>
    <t>Mok</t>
  </si>
  <si>
    <t>192.168.20.127</t>
  </si>
  <si>
    <t>6C626D8629D3</t>
  </si>
  <si>
    <t>SGH049SP2B</t>
  </si>
  <si>
    <t>VWQ64-2W8QD-MKDDV-288BB-FH2WY</t>
  </si>
  <si>
    <t>1GB DDR3x2</t>
  </si>
  <si>
    <t>W89JQ-RDFBM-CTFXM-C4HQ8-7H24P</t>
  </si>
  <si>
    <t>PC116</t>
  </si>
  <si>
    <t>CE-00005A01-11</t>
  </si>
  <si>
    <t>Farah</t>
  </si>
  <si>
    <t>Payroll Room</t>
  </si>
  <si>
    <t>192.168.20.156</t>
  </si>
  <si>
    <t>78E3B59D37CF</t>
  </si>
  <si>
    <t>SGH138PGGQ</t>
  </si>
  <si>
    <t>BKXQX-XKDJQ-QJT2C-HD2BD-3QMQG</t>
  </si>
  <si>
    <t>6TJQJ-BX88T-FKW87-R8VHX-6K9QK</t>
  </si>
  <si>
    <t>PC216</t>
  </si>
  <si>
    <t>Hy Thieng (Temp)</t>
  </si>
  <si>
    <t>Dell Inspiron 3670 Desktop CTO- i5</t>
  </si>
  <si>
    <t>MS Office Home &amp; Business 2019</t>
  </si>
  <si>
    <t>PC79</t>
  </si>
  <si>
    <t>OE09-005/04</t>
  </si>
  <si>
    <t>IT Reserved</t>
  </si>
  <si>
    <t>192.168.0.184</t>
  </si>
  <si>
    <t>00237D2B83B0</t>
  </si>
  <si>
    <t>SGH9030726</t>
  </si>
  <si>
    <t>JY2XY-W29M8-GVR8R-HY6YH-R9THH</t>
  </si>
  <si>
    <t>RTHC2-RCG7F-YH493-HVBHF-K79YB</t>
  </si>
  <si>
    <t>PC22</t>
  </si>
  <si>
    <t>CE-00001A01-11</t>
  </si>
  <si>
    <t>192.168.20.220</t>
  </si>
  <si>
    <t>2C413817C403</t>
  </si>
  <si>
    <t xml:space="preserve">HP Compaq 4430 </t>
  </si>
  <si>
    <t>CNU1343R8N</t>
  </si>
  <si>
    <t>CW6BF-6H3C2-GK7K7-2KVXX-QHVQX</t>
  </si>
  <si>
    <t>Pentium Core i-3-2350 M</t>
  </si>
  <si>
    <t>2.3GHz</t>
  </si>
  <si>
    <t>BV2JP-WRGMK-MVD6W-Y2YWT-T9VRG</t>
  </si>
  <si>
    <t>License #4 of 10</t>
  </si>
  <si>
    <t>PC26</t>
  </si>
  <si>
    <t>1F56</t>
  </si>
  <si>
    <t>OE-06-0030/21</t>
  </si>
  <si>
    <t>IT office</t>
  </si>
  <si>
    <t>192.168.20.157</t>
  </si>
  <si>
    <t>0016769E820F</t>
  </si>
  <si>
    <t>B9BNL1S</t>
  </si>
  <si>
    <t>CK9BT-JH9PB-9XW9T-DXKG6-MPTJT</t>
  </si>
  <si>
    <t>80gb+500gb</t>
  </si>
  <si>
    <t>MS Office 2003 (SB) x installed</t>
  </si>
  <si>
    <t>MMD63-GTTB3-W2PMT-TJRJK-M9YR6</t>
  </si>
  <si>
    <t>WT3XX-PY4W6-R88R4-3F723-WVT98</t>
  </si>
  <si>
    <t>PC36</t>
  </si>
  <si>
    <t>OE-05-0002/02A</t>
  </si>
  <si>
    <t>Slitting Edge Guide / IT</t>
  </si>
  <si>
    <t>Main office</t>
  </si>
  <si>
    <t>192.168.0.106</t>
  </si>
  <si>
    <t>Fujitsu</t>
  </si>
  <si>
    <t>A050107996</t>
  </si>
  <si>
    <t>PX2Y7-T2DXX-86Y8V-WTDBJ-P4C9B</t>
  </si>
  <si>
    <t>Pentium IV Centrinol</t>
  </si>
  <si>
    <t>1.75GHz</t>
  </si>
  <si>
    <t>256MB</t>
  </si>
  <si>
    <t>60GB</t>
  </si>
  <si>
    <t>MS Office 2003 Professional</t>
  </si>
  <si>
    <t>DFYMX-W7WCC-36QHP-92VKP-CDTGW</t>
  </si>
  <si>
    <t>Dreamweaver 8</t>
  </si>
  <si>
    <t>DWD800-08410-41337-18204</t>
  </si>
  <si>
    <t>PC58</t>
  </si>
  <si>
    <t>OE-03-0043A/33</t>
  </si>
  <si>
    <t>x -james lee / unknow</t>
  </si>
  <si>
    <t>HP Compaq nx9000</t>
  </si>
  <si>
    <t>CNF3392ZT8</t>
  </si>
  <si>
    <t>Ms Windows XP Pro</t>
  </si>
  <si>
    <t>K28M6-CDWWM-G692Y-4VRRJ-Y3RRJ</t>
  </si>
  <si>
    <t>2.2GHz</t>
  </si>
  <si>
    <t>40GB</t>
  </si>
  <si>
    <t>BKGJJ-H4KYJ-X428P-9BQHB-Q6V9J</t>
  </si>
  <si>
    <t>PC61</t>
  </si>
  <si>
    <t>OE-04-0037A/19</t>
  </si>
  <si>
    <t>Jack Chow x  IT Reserved</t>
  </si>
  <si>
    <t>Metallizing Office</t>
  </si>
  <si>
    <t>HP Compaq d530MT</t>
  </si>
  <si>
    <t>SGH4200TKT</t>
  </si>
  <si>
    <t>V868V-P7GFF-TJGC6-H6J2R-DRQCD</t>
  </si>
  <si>
    <t>MS Office 2003 (SB)</t>
  </si>
  <si>
    <t>PDDJG-HGCBP-8HY3D-BCRYK-Y3CTW</t>
  </si>
  <si>
    <t>PC63</t>
  </si>
  <si>
    <t>OE08-011/09</t>
  </si>
  <si>
    <t>HP Compaq dx2700 Microtower</t>
  </si>
  <si>
    <t>SGH7510FCQ</t>
  </si>
  <si>
    <t>KTYTB-6PCTY-RQY69-JBTGP-BKHC8</t>
  </si>
  <si>
    <t>1.80GHz</t>
  </si>
  <si>
    <t>JH963-X9WP2-KXCV2-3QJC2-F3696</t>
  </si>
  <si>
    <t>PC65</t>
  </si>
  <si>
    <t>OE-06-0015/13A</t>
  </si>
  <si>
    <t>HP Compaq dx2100 Microtower</t>
  </si>
  <si>
    <t>SGH6170FWZ</t>
  </si>
  <si>
    <t>DR3Q2-RQ7X2-D2XHD-PPGBV-HVQ7Y</t>
  </si>
  <si>
    <t>80GB</t>
  </si>
  <si>
    <t>KMQDQ-2M47X-MVDBX-K3TBX-76686</t>
  </si>
  <si>
    <t>PC81</t>
  </si>
  <si>
    <t>OE09-016/12</t>
  </si>
  <si>
    <t xml:space="preserve">Senai </t>
  </si>
  <si>
    <t>SGH90307YQ</t>
  </si>
  <si>
    <t>VP83W-T6X8H-7CBK2-KQ9R3-R3DVK</t>
  </si>
  <si>
    <t>QKM4T-RKJMR-WHRT4-TWYM9-VH6DW</t>
  </si>
  <si>
    <t>PC88</t>
  </si>
  <si>
    <t>GF51</t>
  </si>
  <si>
    <t>OE-07-0025/25C</t>
  </si>
  <si>
    <t>Receptionist</t>
  </si>
  <si>
    <t>0019D15B3268</t>
  </si>
  <si>
    <t>Assemble</t>
  </si>
  <si>
    <t>BT6HX-F7BJW-HP6W2-YHYC9-7BFHW</t>
  </si>
  <si>
    <t>1.60GHz</t>
  </si>
  <si>
    <t>XTYWM-BBQPP-CGDKM-B8MXH-JH6DT</t>
  </si>
  <si>
    <t>PC90</t>
  </si>
  <si>
    <t>OE09-023/17</t>
  </si>
  <si>
    <t>Production Office</t>
  </si>
  <si>
    <t>SGH92307P2</t>
  </si>
  <si>
    <t>X9WFM-P8PM3-KCBYQ-MHR3J-8QMWM</t>
  </si>
  <si>
    <t>QDW7R-7DDJ9-32DDJ-96H4G-JM836</t>
  </si>
  <si>
    <t>PC91</t>
  </si>
  <si>
    <t>OE09-022/17</t>
  </si>
  <si>
    <t>192.168.20.152</t>
  </si>
  <si>
    <t>00237DC9B8E2</t>
  </si>
  <si>
    <t>SGH92307NW</t>
  </si>
  <si>
    <t>YGGD9-BGXC3-WVCFQ-F3WDC-CJ3BR</t>
  </si>
  <si>
    <t>K9Q6R-V7642-9CD86-K8V6X-CKGD3</t>
  </si>
  <si>
    <t>PC179</t>
  </si>
  <si>
    <t>CE-00139A01-17</t>
  </si>
  <si>
    <t>192.168.30.22</t>
  </si>
  <si>
    <t>C821501F2156</t>
  </si>
  <si>
    <t>WIN10 PRO 64-BITS</t>
  </si>
  <si>
    <t>PC103</t>
  </si>
  <si>
    <t>SW11.7</t>
  </si>
  <si>
    <t>D07</t>
  </si>
  <si>
    <t>OE10-022/16</t>
  </si>
  <si>
    <t>IT*</t>
  </si>
  <si>
    <t>192.168.21.42</t>
  </si>
  <si>
    <t>C80AA960AAC0</t>
  </si>
  <si>
    <t xml:space="preserve">HP Probook 5220M </t>
  </si>
  <si>
    <t>CNF023DC3J</t>
  </si>
  <si>
    <t>B4FX2-J2VVH-JG9RD-9JKWR-FPPQ8</t>
  </si>
  <si>
    <t>Pentium Core i3-350M</t>
  </si>
  <si>
    <t>2.26GHz</t>
  </si>
  <si>
    <t>Acrobat Adobe 9 Standard</t>
  </si>
  <si>
    <t>1016-1460-2227-1036-4434-2368</t>
  </si>
  <si>
    <t>License #1 of 10</t>
  </si>
  <si>
    <t>PC132</t>
  </si>
  <si>
    <t>1F28</t>
  </si>
  <si>
    <t>CE-00065A01-15</t>
  </si>
  <si>
    <t>Johnny Goh</t>
  </si>
  <si>
    <t>192.168.20.185</t>
  </si>
  <si>
    <t>5CB901B0CEA</t>
  </si>
  <si>
    <t>HP Elite Book 840 G2</t>
  </si>
  <si>
    <t>7E050273H</t>
  </si>
  <si>
    <t>Activation ID: 00371-OEM-8992671-00137</t>
  </si>
  <si>
    <t>Core i5-5200</t>
  </si>
  <si>
    <t>8GB DDR3</t>
  </si>
  <si>
    <t>H6N47-W344Q-QDXXD-WVJBR-Q9JC3</t>
  </si>
  <si>
    <t>PC133</t>
  </si>
  <si>
    <t>192.168.11.10</t>
  </si>
  <si>
    <t>D08</t>
  </si>
  <si>
    <t>CE-00066A01-15</t>
  </si>
  <si>
    <t>Raj</t>
  </si>
  <si>
    <t>192.168.20.134</t>
  </si>
  <si>
    <t>5820B145200F</t>
  </si>
  <si>
    <t xml:space="preserve">Activation ID: </t>
  </si>
  <si>
    <t>PC137</t>
  </si>
  <si>
    <t>CE-00075A01-16</t>
  </si>
  <si>
    <t>Syafiqah</t>
  </si>
  <si>
    <t>192.168.0.175 / 138</t>
  </si>
  <si>
    <t>441CA8E46517</t>
  </si>
  <si>
    <t>HP-13-D044TU NOTEBOOK</t>
  </si>
  <si>
    <t>CND6102MZC</t>
  </si>
  <si>
    <t>MS Window 8 Pro 64-bits</t>
  </si>
  <si>
    <t>PC181</t>
  </si>
  <si>
    <t>SG PROPERTIES</t>
  </si>
  <si>
    <t>Cecilia Lee</t>
  </si>
  <si>
    <t>192.168.30.19</t>
  </si>
  <si>
    <t>74DFBF81173F</t>
  </si>
  <si>
    <t>Acer</t>
  </si>
  <si>
    <t>Switch Alpha 12 w logi-kb+moUSE</t>
  </si>
  <si>
    <t>Intel Core i5-6200U</t>
  </si>
  <si>
    <t>2.4Ghz</t>
  </si>
  <si>
    <t>TJ8NR-K7F36-J9HH7-D6JHM-X4TBK</t>
  </si>
  <si>
    <t>PC193</t>
  </si>
  <si>
    <t>X</t>
  </si>
  <si>
    <t>CE-00161A01-17</t>
  </si>
  <si>
    <t>Wee Kee</t>
  </si>
  <si>
    <t>2.7GHZ / 2.9GHZ</t>
  </si>
  <si>
    <t>PC105</t>
  </si>
  <si>
    <t>OE10-030/24</t>
  </si>
  <si>
    <t>Rosliana</t>
  </si>
  <si>
    <t>Lamination</t>
  </si>
  <si>
    <t>Lamination Office</t>
  </si>
  <si>
    <t>192.168.0.74</t>
  </si>
  <si>
    <t>6C626D5F504F</t>
  </si>
  <si>
    <t>SGH036T2MD</t>
  </si>
  <si>
    <t>87PJC-J42VG-TV888-KYYH8-JXRR2</t>
  </si>
  <si>
    <t>D2698-YF7X4-7MQKY-JD3V8-HBM2T</t>
  </si>
  <si>
    <t>PC113</t>
  </si>
  <si>
    <t>1F35</t>
  </si>
  <si>
    <t>OE11-020/11</t>
  </si>
  <si>
    <t>192.168.21.43</t>
  </si>
  <si>
    <t>6C626DB64D6B</t>
  </si>
  <si>
    <t>SGH109RDB7</t>
  </si>
  <si>
    <t>238VR-PJB4H-9B3PK-74MHY-2KM2Q</t>
  </si>
  <si>
    <t>873KJ-JK7F8-QPPFB-WR46Q-PJGHK</t>
  </si>
  <si>
    <t>Easy Asset</t>
  </si>
  <si>
    <t>JEAW0008</t>
  </si>
  <si>
    <t>PC114</t>
  </si>
  <si>
    <t>OE11-019/11</t>
  </si>
  <si>
    <t>Lam Barcode Sticker</t>
  </si>
  <si>
    <t>192.168.0.153</t>
  </si>
  <si>
    <t>SGH109RD9Y</t>
  </si>
  <si>
    <t>WIN7 PRO</t>
  </si>
  <si>
    <t>R8MVV-YQGXY-K9YBH-6MD7F-9VVWBT</t>
  </si>
  <si>
    <t>8WK98-44YY2-4KWYY-47DFV-BWDT7</t>
  </si>
  <si>
    <t>PC135</t>
  </si>
  <si>
    <t>CE-00072A01-16</t>
  </si>
  <si>
    <t xml:space="preserve">Latif </t>
  </si>
  <si>
    <t>192.168.20.179</t>
  </si>
  <si>
    <t>HP  Prodesk 400 G3</t>
  </si>
  <si>
    <t>SGH551T3T9</t>
  </si>
  <si>
    <t>QY6JYN-CWM8B-XVJT7-H7YQX-MG9VX</t>
  </si>
  <si>
    <t>PC140</t>
  </si>
  <si>
    <t>CE-00079A01-17</t>
  </si>
  <si>
    <t>Zuleyana</t>
  </si>
  <si>
    <t>192.168.20.145</t>
  </si>
  <si>
    <t>484D7ED2E831</t>
  </si>
  <si>
    <t>1PB31H2</t>
  </si>
  <si>
    <t>MY05KWV9M06976C206C0</t>
  </si>
  <si>
    <t>T486N-8M9HK-VDF28-9CJBF-F6YQ9</t>
  </si>
  <si>
    <t>PC146</t>
  </si>
  <si>
    <t>CE-00085A01-17</t>
  </si>
  <si>
    <t>Fatinhaziqah</t>
  </si>
  <si>
    <t>192.168.20.133</t>
  </si>
  <si>
    <t>484D7ED30FD4</t>
  </si>
  <si>
    <t>1PF31H2</t>
  </si>
  <si>
    <t>MY05KWV9M06976C20979</t>
  </si>
  <si>
    <t>CF8NT-R9T4J-P9Y9F-W9CDB-G3BQ9</t>
  </si>
  <si>
    <t>PC85</t>
  </si>
  <si>
    <t>OE11-003/03</t>
  </si>
  <si>
    <t>Yana</t>
  </si>
  <si>
    <t>6c626dbb849e</t>
  </si>
  <si>
    <t>SGH104TSRS</t>
  </si>
  <si>
    <t>GGVCH-H7X74-RMDC4-Q9VWT-J2YW2</t>
  </si>
  <si>
    <t xml:space="preserve">Bartender </t>
  </si>
  <si>
    <t>PC53</t>
  </si>
  <si>
    <t>OE-03-0020/18</t>
  </si>
  <si>
    <t>Kh Loh(previous use byrasid)</t>
  </si>
  <si>
    <t>Maintenance</t>
  </si>
  <si>
    <t>Maintenance Office</t>
  </si>
  <si>
    <t>192.168.21.103</t>
  </si>
  <si>
    <t>000BCD9F62AC</t>
  </si>
  <si>
    <t>HP Compaq D530C</t>
  </si>
  <si>
    <t>SGH32900RT</t>
  </si>
  <si>
    <t>DGYGF-8TYHB-R3CTJ-4WR4V-3DXPY</t>
  </si>
  <si>
    <t>MS Office XP (SBE)</t>
  </si>
  <si>
    <t>MWFKK-MD69D-YRY94-WR3YQ-QJPX8</t>
  </si>
  <si>
    <t>AutoCAD LT 2010</t>
  </si>
  <si>
    <t>353-06835605</t>
  </si>
  <si>
    <t>PC100</t>
  </si>
  <si>
    <t>SW11.4</t>
  </si>
  <si>
    <t>GF21</t>
  </si>
  <si>
    <t>OE10-014/11</t>
  </si>
  <si>
    <t>Saiful</t>
  </si>
  <si>
    <t>Sales Office</t>
  </si>
  <si>
    <t>192.168.21.102</t>
  </si>
  <si>
    <t>406186C70C04</t>
  </si>
  <si>
    <t>SGH018PT5R</t>
  </si>
  <si>
    <t>V768Q-89FQC-VGDC9-FYR77-V7RQP</t>
  </si>
  <si>
    <t>2.70GHz</t>
  </si>
  <si>
    <t>1GB DDR</t>
  </si>
  <si>
    <t>KF7MP-RX3BP-KQXR9-X8627-7D2Q8</t>
  </si>
  <si>
    <t>PC157</t>
  </si>
  <si>
    <t>CE-00096A01-17</t>
  </si>
  <si>
    <t>192.168.0.123</t>
  </si>
  <si>
    <t>484D7ED23EEA</t>
  </si>
  <si>
    <t>1PL71H2</t>
  </si>
  <si>
    <t>MY05KWV9M06976C20521</t>
  </si>
  <si>
    <t>3XW4N-3WTY2-PPX9H-MWT92-YKMQ9</t>
  </si>
  <si>
    <t>PC202</t>
  </si>
  <si>
    <t>CE-00235A01-18</t>
  </si>
  <si>
    <t>192.168.20.129</t>
  </si>
  <si>
    <t>54B203044A0A</t>
  </si>
  <si>
    <t>PC154</t>
  </si>
  <si>
    <t>CE-00093A01-17</t>
  </si>
  <si>
    <t>Nabil</t>
  </si>
  <si>
    <t>Metallizing</t>
  </si>
  <si>
    <t>192.168.0.19</t>
  </si>
  <si>
    <t>484D7ED2E63B</t>
  </si>
  <si>
    <t>1PK41H2</t>
  </si>
  <si>
    <t>MY05KWV9M06976C20693</t>
  </si>
  <si>
    <t>PC168</t>
  </si>
  <si>
    <t>CE-00107A01-17</t>
  </si>
  <si>
    <t>Bella</t>
  </si>
  <si>
    <t>192.168.0.155</t>
  </si>
  <si>
    <t>484D7ED31315</t>
  </si>
  <si>
    <t>1PX21H2</t>
  </si>
  <si>
    <t>MY05KWV9M06976C2069F</t>
  </si>
  <si>
    <t>XJMGB-NJYQ6-FTM9G-CM3D7-BDWYK</t>
  </si>
  <si>
    <t>PC204</t>
  </si>
  <si>
    <t>CE-00233A01-18</t>
  </si>
  <si>
    <t>Emran</t>
  </si>
  <si>
    <t>192.168.20.148</t>
  </si>
  <si>
    <t>C8D9D285F635</t>
  </si>
  <si>
    <t>5CD8317H68</t>
  </si>
  <si>
    <t>00330-51325-23216-AAOEM</t>
  </si>
  <si>
    <t>PC34</t>
  </si>
  <si>
    <t>CE-00071A01/16</t>
  </si>
  <si>
    <t>Mirza</t>
  </si>
  <si>
    <t>192.168.0.168</t>
  </si>
  <si>
    <t>HP Pro 400 G3</t>
  </si>
  <si>
    <t>SGH551T3Q7</t>
  </si>
  <si>
    <t>JX76F-F69KK-8MX3X-8G9PT-9MCGJ</t>
  </si>
  <si>
    <t>I5</t>
  </si>
  <si>
    <t>4G</t>
  </si>
  <si>
    <t>MS Office 2003 Professional  (Full Pack)</t>
  </si>
  <si>
    <t>BQ9CQ-K4J78-R2RB4-6XKTP-DVK3D</t>
  </si>
  <si>
    <t>PC124</t>
  </si>
  <si>
    <t>CE-00048A01-13</t>
  </si>
  <si>
    <t>192.168.0.64</t>
  </si>
  <si>
    <t>7446A09BAA22</t>
  </si>
  <si>
    <t>SGH334SDZ9</t>
  </si>
  <si>
    <t>49DN3-RYJR7-BDYHF-BX6RT-BPW9D</t>
  </si>
  <si>
    <t>PC148</t>
  </si>
  <si>
    <t>11.4</t>
  </si>
  <si>
    <t>26</t>
  </si>
  <si>
    <t>GF80</t>
  </si>
  <si>
    <t>CE-00087A01-17</t>
  </si>
  <si>
    <t>192.168.20.175</t>
  </si>
  <si>
    <t>484D7ED3132A</t>
  </si>
  <si>
    <t>1PG31H2</t>
  </si>
  <si>
    <t>MY05KWV9M06976BG04C2</t>
  </si>
  <si>
    <t>9N8G6-2GFXW-6C4PJ-4HXG9-KQBQ9</t>
  </si>
  <si>
    <t>PC161</t>
  </si>
  <si>
    <t>11.5</t>
  </si>
  <si>
    <t>10</t>
  </si>
  <si>
    <t>GF82</t>
  </si>
  <si>
    <t>CE-00100A01-17</t>
  </si>
  <si>
    <t>Amirah</t>
  </si>
  <si>
    <t>192.168.20.173</t>
  </si>
  <si>
    <t>484D7ED30F6E</t>
  </si>
  <si>
    <t>1PN91H2</t>
  </si>
  <si>
    <t>MY05KWV9M06976C2098A</t>
  </si>
  <si>
    <t>GYTNJ-K9VG2-83THM-23GRB-B4G7X</t>
  </si>
  <si>
    <t>PC214</t>
  </si>
  <si>
    <t>Chloe</t>
  </si>
  <si>
    <t>1.8ghz/1.99ghz</t>
  </si>
  <si>
    <t>PC183</t>
  </si>
  <si>
    <t>GF79</t>
  </si>
  <si>
    <t>CE-00146B01-17</t>
  </si>
  <si>
    <t>Sivanes</t>
  </si>
  <si>
    <t>Prepress</t>
  </si>
  <si>
    <t>Prepress Office</t>
  </si>
  <si>
    <t>192.168.20.210</t>
  </si>
  <si>
    <t>003EE1CC0BEC</t>
  </si>
  <si>
    <t>MAC PRO</t>
  </si>
  <si>
    <t>F5KTHOR7F693</t>
  </si>
  <si>
    <t>Mac OS</t>
  </si>
  <si>
    <t>PC184</t>
  </si>
  <si>
    <t>SW11.13</t>
  </si>
  <si>
    <t>GF86</t>
  </si>
  <si>
    <t>CE-00156A01-17</t>
  </si>
  <si>
    <t>192.168.21.2</t>
  </si>
  <si>
    <t>C8D3FF3E7865</t>
  </si>
  <si>
    <t>HP ProDesk 400 G3MT BIZ PC</t>
  </si>
  <si>
    <t>SGH711P0VJ</t>
  </si>
  <si>
    <t>2.5GHZ</t>
  </si>
  <si>
    <t>CGS ORIS SOFTWARE</t>
  </si>
  <si>
    <t>PC189</t>
  </si>
  <si>
    <t>GF83</t>
  </si>
  <si>
    <t>CE-00155A01-17</t>
  </si>
  <si>
    <t>14BD61EFF74C</t>
  </si>
  <si>
    <t>PC215</t>
  </si>
  <si>
    <t>Sivanes (IT KEEP)</t>
  </si>
  <si>
    <t>192.168.21.89</t>
  </si>
  <si>
    <t>Dell Opt 7060 SFF I7</t>
  </si>
  <si>
    <t>9GB19X2</t>
  </si>
  <si>
    <t>8GB + 16GB</t>
  </si>
  <si>
    <t>500GB SSD</t>
  </si>
  <si>
    <t>PC99</t>
  </si>
  <si>
    <t>GF81</t>
  </si>
  <si>
    <t>OE10-003/2</t>
  </si>
  <si>
    <t>PT9B</t>
  </si>
  <si>
    <t>Printing</t>
  </si>
  <si>
    <t>Printing 9 Station B</t>
  </si>
  <si>
    <t>F4CE46020A28</t>
  </si>
  <si>
    <t>SGH952TZTQ</t>
  </si>
  <si>
    <t>ms win pro 7 32bit</t>
  </si>
  <si>
    <t>7WXF8-M2XQX-4DWTF-4F9WM-FQ7KQ</t>
  </si>
  <si>
    <t>Pentium Core 2 DUO</t>
  </si>
  <si>
    <t>GVV9C-K6GX8-KTP29-8X86V-FHPQ6</t>
  </si>
  <si>
    <t>ms access 2013</t>
  </si>
  <si>
    <t>PC109</t>
  </si>
  <si>
    <t>SW11.9</t>
  </si>
  <si>
    <t>OE10-039/29</t>
  </si>
  <si>
    <t xml:space="preserve">Norlin </t>
  </si>
  <si>
    <t>Printing Office</t>
  </si>
  <si>
    <t>192.168.21.133</t>
  </si>
  <si>
    <t>6C626D8629DA</t>
  </si>
  <si>
    <t>SGH049SP2F</t>
  </si>
  <si>
    <t>GH4VG-RM69W-WKXHG-C24TX-RT2GG</t>
  </si>
  <si>
    <t>Q6KVH-49GJ4-MTTMV-KCR67-FX39M</t>
  </si>
  <si>
    <t>PC112</t>
  </si>
  <si>
    <t>OE11-021/11</t>
  </si>
  <si>
    <t>SC Saw</t>
  </si>
  <si>
    <t>192.168.20.115</t>
  </si>
  <si>
    <t>6C626DB65349</t>
  </si>
  <si>
    <t>SHG109RDDC</t>
  </si>
  <si>
    <t>KJFPF-3DFMB-KFF42-DTH4K-JPDJ7</t>
  </si>
  <si>
    <t>TRFYP-HXWYM-RFCKH-CBYWP-JWXBW</t>
  </si>
  <si>
    <t>PC130</t>
  </si>
  <si>
    <t>CE-00057A01-14</t>
  </si>
  <si>
    <t>YF Tang</t>
  </si>
  <si>
    <t>192.168.0.130</t>
  </si>
  <si>
    <t>9CB654EC37C7</t>
  </si>
  <si>
    <t>6CR4127N77</t>
  </si>
  <si>
    <t>XPNB7-844W6-HMWB6-X9WT8-D9JC3</t>
  </si>
  <si>
    <t>PC141</t>
  </si>
  <si>
    <t>CE-00080A01-17</t>
  </si>
  <si>
    <t>Atierah</t>
  </si>
  <si>
    <t>192.168.21.200</t>
  </si>
  <si>
    <t>484D7ED2DE87</t>
  </si>
  <si>
    <t>1PC31H2</t>
  </si>
  <si>
    <t>MY05KWV9M06976C20991</t>
  </si>
  <si>
    <t>BNF6Y-XWDPX-WTMJ2-KCTKD-4GDHX</t>
  </si>
  <si>
    <t>PC155</t>
  </si>
  <si>
    <t>CE-00094A01-17</t>
  </si>
  <si>
    <t>Amni</t>
  </si>
  <si>
    <t>192.168.0.211</t>
  </si>
  <si>
    <t>484D7ED2E59E</t>
  </si>
  <si>
    <t>1PK91H2</t>
  </si>
  <si>
    <t>MY05LWV9M06976C206D3</t>
  </si>
  <si>
    <t>2MMN3-TBCJC-6FK6P-G268G-P7JYK</t>
  </si>
  <si>
    <t>PC156</t>
  </si>
  <si>
    <t>CE-00095A01-17</t>
  </si>
  <si>
    <t>192.168.0.222</t>
  </si>
  <si>
    <t>484D7ED2E633</t>
  </si>
  <si>
    <t>1PL41H2</t>
  </si>
  <si>
    <t>MY05KWV9M06976BG050A</t>
  </si>
  <si>
    <t>NY9VB-D22QH-787G4-T4FWF-3DBQ9</t>
  </si>
  <si>
    <t>PC169</t>
  </si>
  <si>
    <t>CE-00108A01-17</t>
  </si>
  <si>
    <t>192.168.0.223</t>
  </si>
  <si>
    <t>484D7ED2E2FB</t>
  </si>
  <si>
    <t>1PY21H2</t>
  </si>
  <si>
    <t>MY05KWV9M06976BG04B9</t>
  </si>
  <si>
    <t>FTQNH-CDP4R-Q9P4M-QM2T2-76DHX</t>
  </si>
  <si>
    <t>PC174</t>
  </si>
  <si>
    <t>CE-00113A01-17</t>
  </si>
  <si>
    <t>Fairus</t>
  </si>
  <si>
    <t>192.168.0.25</t>
  </si>
  <si>
    <t>484D7ED2E7D0</t>
  </si>
  <si>
    <t>1Q771H2</t>
  </si>
  <si>
    <t>MY05KWV9M06976C206D2</t>
  </si>
  <si>
    <t>96NPV-BC6JW-FW7DB-2WWK4-TVJYK</t>
  </si>
  <si>
    <t>PC187</t>
  </si>
  <si>
    <t>NO STICKER</t>
  </si>
  <si>
    <t>Hassan</t>
  </si>
  <si>
    <t>192.168.0.209</t>
  </si>
  <si>
    <t>00215A1D3AB1</t>
  </si>
  <si>
    <t>HP COMPAQ DX2710MT</t>
  </si>
  <si>
    <t>SGH8300KBD</t>
  </si>
  <si>
    <t>Windows XP</t>
  </si>
  <si>
    <t>76487-OEM-0011903-00101</t>
  </si>
  <si>
    <t>E2200 @ 2.2GHZ</t>
  </si>
  <si>
    <t>2.2GHZ</t>
  </si>
  <si>
    <t>1 GB</t>
  </si>
  <si>
    <t>160 GB</t>
  </si>
  <si>
    <t>OFFICE 2010</t>
  </si>
  <si>
    <t>PC206</t>
  </si>
  <si>
    <t>CE-00145A01-17</t>
  </si>
  <si>
    <t>Amin</t>
  </si>
  <si>
    <t>192.168.20.248</t>
  </si>
  <si>
    <t>509A4C00E49A</t>
  </si>
  <si>
    <t>DELL Inspiron 3268</t>
  </si>
  <si>
    <t>BSF72K2</t>
  </si>
  <si>
    <t>00331-20027-77759-AA364</t>
  </si>
  <si>
    <t>Intel Core i3-7100</t>
  </si>
  <si>
    <t>3.90 Ghz/3.91 Ghz</t>
  </si>
  <si>
    <t>WPS Office</t>
  </si>
  <si>
    <t>4CN3V-RM7X3-46CB4-KRKMG-WXCKM</t>
  </si>
  <si>
    <t>PC208</t>
  </si>
  <si>
    <t>PT9A</t>
  </si>
  <si>
    <t>Printing 9 Machine</t>
  </si>
  <si>
    <t>192.168.27.18</t>
  </si>
  <si>
    <t>54BF64884A30</t>
  </si>
  <si>
    <t>8Q5B0T2</t>
  </si>
  <si>
    <t>RFBTH - QN3RB - TCMH7 - CMG8D - GF4D9</t>
  </si>
  <si>
    <t>PC120</t>
  </si>
  <si>
    <t>1F18</t>
  </si>
  <si>
    <t>CE-00036A01-12</t>
  </si>
  <si>
    <t>Tan Bee Ting</t>
  </si>
  <si>
    <t>192.168.20.166</t>
  </si>
  <si>
    <t>A0B3CCFD2C6A</t>
  </si>
  <si>
    <t>SGH226QZGY</t>
  </si>
  <si>
    <t>BH87R-8WPB2-R8GDR-4G62C-RGWGP</t>
  </si>
  <si>
    <t>Core i3-2120</t>
  </si>
  <si>
    <t>4GB DDR</t>
  </si>
  <si>
    <t>BJH6W-PFG3B-DW7Q9-F6DY2-RV3H7</t>
  </si>
  <si>
    <t>PC143</t>
  </si>
  <si>
    <t>1F19</t>
  </si>
  <si>
    <t>CE-00082A01-17</t>
  </si>
  <si>
    <t>Aida</t>
  </si>
  <si>
    <t>192.168.20.164</t>
  </si>
  <si>
    <t>484D7ED3133E</t>
  </si>
  <si>
    <t>1PD31H2</t>
  </si>
  <si>
    <t>MY05KWV9M06976C20997</t>
  </si>
  <si>
    <t>VNHPD-GB7WJ-Q3W3B-B9YD9-7XMQ9</t>
  </si>
  <si>
    <t>PC158</t>
  </si>
  <si>
    <t>??</t>
  </si>
  <si>
    <t>NO LABEL</t>
  </si>
  <si>
    <t>CE-00097A01-17</t>
  </si>
  <si>
    <t>Suhaya</t>
  </si>
  <si>
    <t>192.168.20.165</t>
  </si>
  <si>
    <t>484D7ED31728</t>
  </si>
  <si>
    <t>1PLB1H2</t>
  </si>
  <si>
    <t>MY05KWV9M06976BG050E</t>
  </si>
  <si>
    <t>PC04</t>
  </si>
  <si>
    <t>OE-09-032/22</t>
  </si>
  <si>
    <t>QC GC Computer</t>
  </si>
  <si>
    <t>LAM QC</t>
  </si>
  <si>
    <t>192.168.28.11</t>
  </si>
  <si>
    <t>00248186C7B1</t>
  </si>
  <si>
    <t>SGH942062Y</t>
  </si>
  <si>
    <t>CR2G9-P799Y-TK4K9-CPGF8-XGMHJ</t>
  </si>
  <si>
    <t>BTV3X-P9XFJ-8VR6R-QD9K8-VVVBG</t>
  </si>
  <si>
    <t>PC06</t>
  </si>
  <si>
    <t>QC Chemist 03 (Shahida)</t>
  </si>
  <si>
    <t>QC Slitting Office</t>
  </si>
  <si>
    <t>192.168.21.105</t>
  </si>
  <si>
    <t>78E3B59D37A8</t>
  </si>
  <si>
    <t>SGH138PGGR</t>
  </si>
  <si>
    <t>6H3X8-63V4F-V7BVD-339TY-BFYFF</t>
  </si>
  <si>
    <t>6QYHB-VMDHC-F477Q-88K42-393KQ</t>
  </si>
  <si>
    <t>PC11</t>
  </si>
  <si>
    <t>OE-06-0037/26</t>
  </si>
  <si>
    <t>QC Chemist Tampoi</t>
  </si>
  <si>
    <t>QC Lab</t>
  </si>
  <si>
    <t>192.168.0.128</t>
  </si>
  <si>
    <t>001676D43721</t>
  </si>
  <si>
    <t>CGLPM1S (Express Code: 27125313760)</t>
  </si>
  <si>
    <t>G8Q3G-8R2X3-JQYQW-8P2P9-6JRWQ</t>
  </si>
  <si>
    <t>WMT9J-46MM9-2978V-GJKX7-GB68T</t>
  </si>
  <si>
    <t>PC29</t>
  </si>
  <si>
    <t>LE-00-0005/5</t>
  </si>
  <si>
    <t>Instron</t>
  </si>
  <si>
    <t>QC down staire</t>
  </si>
  <si>
    <t>Dimension  L733r</t>
  </si>
  <si>
    <t>B64L21S</t>
  </si>
  <si>
    <t>MS Windows 98</t>
  </si>
  <si>
    <t>JMCMF-FFDXD-CVBDR-9KMC7-VBGVM</t>
  </si>
  <si>
    <t>Pentium III</t>
  </si>
  <si>
    <t>733MHz</t>
  </si>
  <si>
    <t>64MB</t>
  </si>
  <si>
    <t>7.5GB</t>
  </si>
  <si>
    <t>Instron - Merlin Ver 4.4.2 For Merlin 5500</t>
  </si>
  <si>
    <t>-</t>
  </si>
  <si>
    <t>PC35</t>
  </si>
  <si>
    <t>OE-99-0024/16</t>
  </si>
  <si>
    <t>OTR</t>
  </si>
  <si>
    <t>QC Office</t>
  </si>
  <si>
    <t>AcerPower 4100</t>
  </si>
  <si>
    <t>MS Windows 95</t>
  </si>
  <si>
    <t>18696-OEM-0012997-78459</t>
  </si>
  <si>
    <t>Pentium</t>
  </si>
  <si>
    <t>100MHz</t>
  </si>
  <si>
    <t>400MB</t>
  </si>
  <si>
    <t>Oxygen Trans Analysis Sys Ver 4.2.52</t>
  </si>
  <si>
    <t>033-683</t>
  </si>
  <si>
    <t>PC37</t>
  </si>
  <si>
    <t>OE-03-0041/32</t>
  </si>
  <si>
    <t>FTIR</t>
  </si>
  <si>
    <t>Compaq d530</t>
  </si>
  <si>
    <t>SGH34207MK</t>
  </si>
  <si>
    <t>PJMWC-3RRHW-VQW2T-KDYXT-M4F9Y</t>
  </si>
  <si>
    <t>248MB</t>
  </si>
  <si>
    <t>Spectrum V 5.0.1 For FTIR Spectrometer</t>
  </si>
  <si>
    <t>LX100627</t>
  </si>
  <si>
    <t>PC38</t>
  </si>
  <si>
    <t>OE10-002/2</t>
  </si>
  <si>
    <t>QC Chemist 02</t>
  </si>
  <si>
    <t>Lamination QC Lab</t>
  </si>
  <si>
    <t>192.168.21.72</t>
  </si>
  <si>
    <t>F4CE460209C9</t>
  </si>
  <si>
    <t>SGH952TZTK</t>
  </si>
  <si>
    <t>TB46X-B8G82-T63VC-JK77G-4VYVF</t>
  </si>
  <si>
    <t>Core 2 DUO</t>
  </si>
  <si>
    <t>DF8VF-DV2DW-CHHP4-MCFW4-CG836</t>
  </si>
  <si>
    <t>PC43</t>
  </si>
  <si>
    <t>CE-00050A01-13</t>
  </si>
  <si>
    <t>Farah Syahira</t>
  </si>
  <si>
    <t>QC Warehouse Office</t>
  </si>
  <si>
    <t>192.168.21.8</t>
  </si>
  <si>
    <t>7446A09C1E6F</t>
  </si>
  <si>
    <t>SGH334SDZ8</t>
  </si>
  <si>
    <t>Q8339-JPN76-FKTGH-PVQCB-HT7GQ</t>
  </si>
  <si>
    <t>PC46</t>
  </si>
  <si>
    <t>OE-01-0057/51</t>
  </si>
  <si>
    <t>Tensile</t>
  </si>
  <si>
    <t>QC Lab Downstairs</t>
  </si>
  <si>
    <t>Acer Veriton 5200</t>
  </si>
  <si>
    <t>37P01501XE138032</t>
  </si>
  <si>
    <t>MS Windows XP Pro (bt using 98)</t>
  </si>
  <si>
    <t>KP4XP-BQMXR-DFYR4-KCJGF-JD28J</t>
  </si>
  <si>
    <t>256MB+128MB</t>
  </si>
  <si>
    <t>PC57</t>
  </si>
  <si>
    <t>11.3</t>
  </si>
  <si>
    <t>22</t>
  </si>
  <si>
    <t>1F22</t>
  </si>
  <si>
    <t>OE-07-0006/6</t>
  </si>
  <si>
    <t>QC Chemist 05(Zol)</t>
  </si>
  <si>
    <t>Slitting QC Office</t>
  </si>
  <si>
    <t>192.168.20.159</t>
  </si>
  <si>
    <t>0019215584F0</t>
  </si>
  <si>
    <t>Acer Power FH</t>
  </si>
  <si>
    <t>P3700103SE710001</t>
  </si>
  <si>
    <t>QCYDT-VGDBY-W4TX6-R2BTQ-8HPYB</t>
  </si>
  <si>
    <t>FBJYM-47XFP-3K94F-F3R8W-88RP8</t>
  </si>
  <si>
    <t>PC74</t>
  </si>
  <si>
    <t>OE08-041/35</t>
  </si>
  <si>
    <t>QC GC</t>
  </si>
  <si>
    <t>SGH82606RT</t>
  </si>
  <si>
    <t>4GF2H-RP48Q-M29Y3-QQ6DS-8TGMT</t>
  </si>
  <si>
    <t>WYTP3-HTWM9-PWK9J-JPYMY-2477J</t>
  </si>
  <si>
    <t>PC86</t>
  </si>
  <si>
    <t>CE-00023A01-12</t>
  </si>
  <si>
    <t>QC Chemist04 (Asyraf)</t>
  </si>
  <si>
    <t>192.168.0.108</t>
  </si>
  <si>
    <t>082E5F14BC4F</t>
  </si>
  <si>
    <t>HP Pro 3300 Series MT</t>
  </si>
  <si>
    <t>SGH203QP6P</t>
  </si>
  <si>
    <t>BHBMY-JC3YP-83JBK-7HYXW-H6W6M</t>
  </si>
  <si>
    <t>Intel Core i3 2120</t>
  </si>
  <si>
    <t>GKPT4-92648-8FPYC-WR7PX-WTPBJ</t>
  </si>
  <si>
    <t>PC97</t>
  </si>
  <si>
    <t>OE-07-0005/5</t>
  </si>
  <si>
    <t>GC</t>
  </si>
  <si>
    <t>QC Lab Upstairs</t>
  </si>
  <si>
    <t>192.168.1.6</t>
  </si>
  <si>
    <t>Compaq dx2700 Microtower</t>
  </si>
  <si>
    <t>SGH7090BKL</t>
  </si>
  <si>
    <t>XC7KR-PYKVT-KJFMW-2CB36-D4WM3</t>
  </si>
  <si>
    <t>512MB+512MB</t>
  </si>
  <si>
    <t>QDBD7-J9WFY-8RQY7-MRRCQ-TJCTW</t>
  </si>
  <si>
    <t>PC108</t>
  </si>
  <si>
    <t>PORT43S11.5</t>
  </si>
  <si>
    <t>Hana QC</t>
  </si>
  <si>
    <t>192.168.0.119</t>
  </si>
  <si>
    <t>6C626D8629BC</t>
  </si>
  <si>
    <t>SGH049SP26</t>
  </si>
  <si>
    <t>MWPKR-RF4VF-C4K66-9WWB9-XJPWB</t>
  </si>
  <si>
    <t>W22KV-PHXD7-6V4QX-RB69M-3WDJ2</t>
  </si>
  <si>
    <t>PC110</t>
  </si>
  <si>
    <t>OE11-004/03</t>
  </si>
  <si>
    <t>SpectroEye</t>
  </si>
  <si>
    <t>Printing Proofing Room</t>
  </si>
  <si>
    <t>192.168.0.132</t>
  </si>
  <si>
    <t>6C626DABE59D</t>
  </si>
  <si>
    <t>SGH104TSVY</t>
  </si>
  <si>
    <t>9BVDT-7XBXR-66788-CYTRK-P6HCR</t>
  </si>
  <si>
    <t>Colour Quality Software V5.1</t>
  </si>
  <si>
    <t>2e30-478a-5b8a-1668-c948-d9af-d697-297c-d9db-0263</t>
  </si>
  <si>
    <t>PC117</t>
  </si>
  <si>
    <t>CE-00024A01-12</t>
  </si>
  <si>
    <t>Norlezar</t>
  </si>
  <si>
    <t>192.168.21.10</t>
  </si>
  <si>
    <t>082E5F2420C1</t>
  </si>
  <si>
    <t>HP Compaq Pro 3300 Series MT</t>
  </si>
  <si>
    <t>SGH203QP8Q</t>
  </si>
  <si>
    <t>34PWX-CHG7D-6W4YT-9RDMV-WT98W</t>
  </si>
  <si>
    <t>6T7FK-MB73D-Y9Y64-RM7FG-YDHCH</t>
  </si>
  <si>
    <t>PC134</t>
  </si>
  <si>
    <t>CE-00070A01-16</t>
  </si>
  <si>
    <t xml:space="preserve">Super QC (Helmi) </t>
  </si>
  <si>
    <t>192.168.21.11</t>
  </si>
  <si>
    <t>3464A93461FF</t>
  </si>
  <si>
    <t>SGH551T3PY</t>
  </si>
  <si>
    <t>QYRNB-JQT8B-28TKC-VC3X8-QDBQ9</t>
  </si>
  <si>
    <t>PC151</t>
  </si>
  <si>
    <t>CE-00090A01-17</t>
  </si>
  <si>
    <t>QC Incoming (Fatimah)</t>
  </si>
  <si>
    <t>484D7ED312FF</t>
  </si>
  <si>
    <t>1PH51H2</t>
  </si>
  <si>
    <t>MY05KWV9M06976C2098D</t>
  </si>
  <si>
    <t>PC162</t>
  </si>
  <si>
    <t>CE-00101A01-17</t>
  </si>
  <si>
    <t>COA (Zira)</t>
  </si>
  <si>
    <t>192.168.21.17</t>
  </si>
  <si>
    <t>484D7ED2E37B</t>
  </si>
  <si>
    <t>1PP51H2</t>
  </si>
  <si>
    <t>MY05KWV9M06976C20973</t>
  </si>
  <si>
    <t>PC165</t>
  </si>
  <si>
    <t>CE-00104A01-17</t>
  </si>
  <si>
    <t>QC Chemist - Slitting</t>
  </si>
  <si>
    <t>1PRB1H2</t>
  </si>
  <si>
    <t>MY05KWV9M06976C20996</t>
  </si>
  <si>
    <t>2.5Ghz</t>
  </si>
  <si>
    <t>FC2CQ-GNXTK-CM6RB-WQ427-GCQHX</t>
  </si>
  <si>
    <t>PC166</t>
  </si>
  <si>
    <t>CE-00105A01-17</t>
  </si>
  <si>
    <t>QC Chemist 01 (Ainul)</t>
  </si>
  <si>
    <t>192.168.21.20</t>
  </si>
  <si>
    <t>484D7ED2EA4D</t>
  </si>
  <si>
    <t>1PS91H2</t>
  </si>
  <si>
    <t>MY05KWV9M06976C2097F</t>
  </si>
  <si>
    <t>4XN2V-JM4K9-PM8W4-DD2K7-HXMQ9</t>
  </si>
  <si>
    <t>PC177</t>
  </si>
  <si>
    <t>CE-00116A01-17</t>
  </si>
  <si>
    <t>Safiqah</t>
  </si>
  <si>
    <t>192.168.21.19</t>
  </si>
  <si>
    <t>484D7ED2E303</t>
  </si>
  <si>
    <t>1QD41H2</t>
  </si>
  <si>
    <t>MY05KWV9M06976C2099E</t>
  </si>
  <si>
    <t>RMMVT-8NJK6-K3XKV-94YHJ-J8GBK</t>
  </si>
  <si>
    <t>PC196</t>
  </si>
  <si>
    <t>CE-00216A01-18</t>
  </si>
  <si>
    <t>Herbie</t>
  </si>
  <si>
    <t>192.168.20.114</t>
  </si>
  <si>
    <t>ACE2D36421FB</t>
  </si>
  <si>
    <t>PC15</t>
  </si>
  <si>
    <t>OE-0700010/10</t>
  </si>
  <si>
    <t xml:space="preserve">QC </t>
  </si>
  <si>
    <t>192.168.21.7</t>
  </si>
  <si>
    <t>001A4B3B6A05</t>
  </si>
  <si>
    <t>SGH71206PC</t>
  </si>
  <si>
    <t>MF3CX-XW3Q6-CJPCT-PRW8F-HC7J8</t>
  </si>
  <si>
    <t>Pentium Core</t>
  </si>
  <si>
    <t>BCHXF-YPXDC-DPCWV-WF72R-MKH6T</t>
  </si>
  <si>
    <t>PC190</t>
  </si>
  <si>
    <t>9</t>
  </si>
  <si>
    <t>CE-00159A01-17</t>
  </si>
  <si>
    <t>Serene</t>
  </si>
  <si>
    <t>192.168.30.6</t>
  </si>
  <si>
    <t>88B111567B51</t>
  </si>
  <si>
    <t>5CD732596M</t>
  </si>
  <si>
    <t>00330-50621-93317-AAOEM</t>
  </si>
  <si>
    <t>HYHF8-PTN4G-9YKGG-CV2P4-9W3HX</t>
  </si>
  <si>
    <t>PC98</t>
  </si>
  <si>
    <t>OE-09-033/22</t>
  </si>
  <si>
    <t>Farehah</t>
  </si>
  <si>
    <t>R&amp;D</t>
  </si>
  <si>
    <t>Slitting Office</t>
  </si>
  <si>
    <t>192.168.0.179</t>
  </si>
  <si>
    <t>0026553650A8</t>
  </si>
  <si>
    <t>SGH9420650</t>
  </si>
  <si>
    <t>V8CP3-4WPHY-2K8CW-6G4D8-QH3MP</t>
  </si>
  <si>
    <t>RRF6R-BT6TR-GK48H-CDJFP-TCVBG</t>
  </si>
  <si>
    <t>PC139</t>
  </si>
  <si>
    <t>CE-00078A01-17</t>
  </si>
  <si>
    <t>1P951H2</t>
  </si>
  <si>
    <t>MY05KWV9M06976C2099B</t>
  </si>
  <si>
    <t>73KGJ-BNMDQ-9XY69-4M27M-TXXVX</t>
  </si>
  <si>
    <t>PC178</t>
  </si>
  <si>
    <t>CE-00117A01-17</t>
  </si>
  <si>
    <t>192.168.0.170</t>
  </si>
  <si>
    <t>484D7ED30FDE</t>
  </si>
  <si>
    <t>1QDC1H2</t>
  </si>
  <si>
    <t>MY05KWV9M06976C2098C</t>
  </si>
  <si>
    <t>3TJK8-DNVRW-PTRGQ-G2RMM-KD739</t>
  </si>
  <si>
    <t>PC200</t>
  </si>
  <si>
    <t>CE-00221A01-18</t>
  </si>
  <si>
    <t>Azwani</t>
  </si>
  <si>
    <t>Recycle</t>
  </si>
  <si>
    <t>192.168.21.195</t>
  </si>
  <si>
    <t>8CEC4B5DB4F1</t>
  </si>
  <si>
    <t>6K0S9P2</t>
  </si>
  <si>
    <t>00330-50999-39178-AAOEM</t>
  </si>
  <si>
    <t>PC209</t>
  </si>
  <si>
    <t>CE-0021A01-13</t>
  </si>
  <si>
    <t>Iffah (Temporary)</t>
  </si>
  <si>
    <t>192.168.21.79</t>
  </si>
  <si>
    <t>DESKTOP</t>
  </si>
  <si>
    <t>PC136</t>
  </si>
  <si>
    <t>CE-00074A01-16</t>
  </si>
  <si>
    <t>Vincent</t>
  </si>
  <si>
    <t>9CEBE80E3E55</t>
  </si>
  <si>
    <t>CND6102MTL</t>
  </si>
  <si>
    <t>00330-71307-68030-AAOEM</t>
  </si>
  <si>
    <t xml:space="preserve">INTEL ® CORE ™ I5-6200U </t>
  </si>
  <si>
    <t>2.3GHZ+2.4GHZ</t>
  </si>
  <si>
    <t>117GB</t>
  </si>
  <si>
    <t>PC12</t>
  </si>
  <si>
    <t>GF19</t>
  </si>
  <si>
    <t>192.168.20.192</t>
  </si>
  <si>
    <t>2C44FD20DB7E</t>
  </si>
  <si>
    <t>SGH347T4N0</t>
  </si>
  <si>
    <t>i3-3240</t>
  </si>
  <si>
    <t>7XNRR-CQKW9-TRM23-MMVY4-7H3TQ</t>
  </si>
  <si>
    <t>PC20</t>
  </si>
  <si>
    <t>GF77</t>
  </si>
  <si>
    <t>OE-05-0035/27A</t>
  </si>
  <si>
    <t>Ai Lin Midea</t>
  </si>
  <si>
    <t>Acer Veriton 6800</t>
  </si>
  <si>
    <t>V2000047SE550001</t>
  </si>
  <si>
    <t>CV3HJ-YX8MT-CKYVR-DVV2X-W3M3J</t>
  </si>
  <si>
    <t>MS Office 2003 Professional (SBE)</t>
  </si>
  <si>
    <t>D437G-T22KV-KQGJJ-7PGTY-9RDQM</t>
  </si>
  <si>
    <t>PC119</t>
  </si>
  <si>
    <t>CE-00037A01-12</t>
  </si>
  <si>
    <t>Atty</t>
  </si>
  <si>
    <t>192.168.21.104</t>
  </si>
  <si>
    <t>A0B3CCFD370C</t>
  </si>
  <si>
    <t>SGH226QZHQ</t>
  </si>
  <si>
    <t>2RQG3-C3H3D-WK34F-VFKB9-PFHD9</t>
  </si>
  <si>
    <t>RB2JJ-B9BXX-V6TYG-4WV3K-F8Wv7</t>
  </si>
  <si>
    <t>PC121</t>
  </si>
  <si>
    <t>GF11</t>
  </si>
  <si>
    <t>CE-00039A01-12</t>
  </si>
  <si>
    <t>192.168.20.193</t>
  </si>
  <si>
    <t>B4B52FC769BC</t>
  </si>
  <si>
    <t>SGH239P8JL</t>
  </si>
  <si>
    <t>YB4JG-438DB-4BGYQ-C4WG3-BFT8F</t>
  </si>
  <si>
    <t>P46RD-VMKF2-77YC8-R22D3-KHQ97</t>
  </si>
  <si>
    <t>PC128</t>
  </si>
  <si>
    <t>CE-00054A01-14</t>
  </si>
  <si>
    <t>9CB654EB5C5B</t>
  </si>
  <si>
    <t>SGH411QF29</t>
  </si>
  <si>
    <t>6JN9T-CYJ86-FDD28-BV2QF-DJX6Q</t>
  </si>
  <si>
    <t>PC129</t>
  </si>
  <si>
    <t>GF44</t>
  </si>
  <si>
    <t>CE-00056A01-14</t>
  </si>
  <si>
    <t>Simon Tan</t>
  </si>
  <si>
    <t>192.168.0.148 +wf</t>
  </si>
  <si>
    <t>B86B23F41676</t>
  </si>
  <si>
    <t>Toshiba</t>
  </si>
  <si>
    <t>Portege Z30-A107</t>
  </si>
  <si>
    <t>4E036768H</t>
  </si>
  <si>
    <t>Core i7-4500U</t>
  </si>
  <si>
    <t>128GB SSD</t>
  </si>
  <si>
    <t>8QNFB-46TBY-92RG6-DWBM4-R3HGQ</t>
  </si>
  <si>
    <t>PC131</t>
  </si>
  <si>
    <t>GF16</t>
  </si>
  <si>
    <t>CE-00058A01-14</t>
  </si>
  <si>
    <t>Elaine Wong</t>
  </si>
  <si>
    <t>192.168.20.189</t>
  </si>
  <si>
    <t>9CB654EB5D8A</t>
  </si>
  <si>
    <t>SGH421S2VF</t>
  </si>
  <si>
    <t>RRH7C-MNBYT-RKFV8-7FBX9-MG7GQ</t>
  </si>
  <si>
    <t>PC138</t>
  </si>
  <si>
    <t>CE-00073A01-16</t>
  </si>
  <si>
    <t>Josy Yap</t>
  </si>
  <si>
    <t>00E04C680516</t>
  </si>
  <si>
    <t>CND6102N0X</t>
  </si>
  <si>
    <t>PC144</t>
  </si>
  <si>
    <t>GF18</t>
  </si>
  <si>
    <t>CE-00083A01-17</t>
  </si>
  <si>
    <t>192.168.20.195</t>
  </si>
  <si>
    <t>484D7ED2E66F</t>
  </si>
  <si>
    <t>1PD71H2</t>
  </si>
  <si>
    <t>MY05KWV9M06976C2096B</t>
  </si>
  <si>
    <t>N9GXP-R7RTP-TYJBH-MYGHM-8FG7X</t>
  </si>
  <si>
    <t>PC145</t>
  </si>
  <si>
    <t>CE-00084A01-17</t>
  </si>
  <si>
    <t>Yati</t>
  </si>
  <si>
    <t>192.168.0.133</t>
  </si>
  <si>
    <t>484D7ED2E821</t>
  </si>
  <si>
    <t>1PDB1H2</t>
  </si>
  <si>
    <t>MY05KWV9M06976C20995</t>
  </si>
  <si>
    <t>P76N4-2C48Y-GF3XX-W367B-3GPMK</t>
  </si>
  <si>
    <t>PC170</t>
  </si>
  <si>
    <t>GF12</t>
  </si>
  <si>
    <t>CE-00109A01-17</t>
  </si>
  <si>
    <t>Revathy</t>
  </si>
  <si>
    <t>192.168.20.199</t>
  </si>
  <si>
    <t>484D7ED305DB</t>
  </si>
  <si>
    <t>1PZ81H2</t>
  </si>
  <si>
    <t>MY05KWV9M06976BG04D6</t>
  </si>
  <si>
    <t>NR49T-QM4YB-GVK4M-4F239-7XMQ9</t>
  </si>
  <si>
    <t>PC173</t>
  </si>
  <si>
    <t>CE-00112A01-17</t>
  </si>
  <si>
    <t>Uswatun</t>
  </si>
  <si>
    <t>192.168.0.109</t>
  </si>
  <si>
    <t>484D7ED30A68</t>
  </si>
  <si>
    <t>1Q451H2</t>
  </si>
  <si>
    <t>MY05KWV9M06976C20694</t>
  </si>
  <si>
    <t>N4DT9-CD43Q-KT3T8-X8DVV-PWGBK</t>
  </si>
  <si>
    <t>PC175</t>
  </si>
  <si>
    <t>GF29</t>
  </si>
  <si>
    <t>CE-00114A01-17</t>
  </si>
  <si>
    <t>Ailin</t>
  </si>
  <si>
    <t>192.168.20.200</t>
  </si>
  <si>
    <t>484D7ED31750</t>
  </si>
  <si>
    <t>1Q881H2</t>
  </si>
  <si>
    <t>MY05KWV9M06976C20987</t>
  </si>
  <si>
    <t>4HRNV-D6QKM-MH8RF-QB232-KW3HX</t>
  </si>
  <si>
    <t>PC180</t>
  </si>
  <si>
    <t>GF47</t>
  </si>
  <si>
    <t>CE-00140A01-17</t>
  </si>
  <si>
    <t>Chuan</t>
  </si>
  <si>
    <t>KL Office</t>
  </si>
  <si>
    <t>PC185</t>
  </si>
  <si>
    <t>GF46</t>
  </si>
  <si>
    <t>CE-0015A01-17</t>
  </si>
  <si>
    <t>PKng</t>
  </si>
  <si>
    <t>192.168.0.163 +wf</t>
  </si>
  <si>
    <t>E442A631E8F0</t>
  </si>
  <si>
    <t>HP PROBOOK</t>
  </si>
  <si>
    <t>5DC7239MZF</t>
  </si>
  <si>
    <t>00330-50549-46447-AAOEM</t>
  </si>
  <si>
    <t>Intel Core i5-7200T</t>
  </si>
  <si>
    <t>2.5GHZ / 2.71GHZ</t>
  </si>
  <si>
    <t>3XNDK-WHMMP-KKCJ3-R4J3B-RC2MK</t>
  </si>
  <si>
    <t>PC194</t>
  </si>
  <si>
    <t>CE-00061A01-14</t>
  </si>
  <si>
    <t>Eric</t>
  </si>
  <si>
    <t>192.168.30.13</t>
  </si>
  <si>
    <t>E82AEA9BD5A7</t>
  </si>
  <si>
    <t>TOSHIBA</t>
  </si>
  <si>
    <t>TOSHIBA PROTÉGÉ</t>
  </si>
  <si>
    <t>TE050273H</t>
  </si>
  <si>
    <t>Windows 7 Pro</t>
  </si>
  <si>
    <t>PC201</t>
  </si>
  <si>
    <t>CE-00222A01-18</t>
  </si>
  <si>
    <t>Aien</t>
  </si>
  <si>
    <t>192.168.0.188</t>
  </si>
  <si>
    <t>8CE44B5D80C13</t>
  </si>
  <si>
    <t>PC205</t>
  </si>
  <si>
    <t>CE-00232A01-18</t>
  </si>
  <si>
    <t xml:space="preserve">Lai Ngo </t>
  </si>
  <si>
    <t>PC210</t>
  </si>
  <si>
    <t>CE-00248A01-19</t>
  </si>
  <si>
    <t xml:space="preserve">Surinder </t>
  </si>
  <si>
    <t>192.168.30.55</t>
  </si>
  <si>
    <t>E4E7493FCEC2</t>
  </si>
  <si>
    <t>5CD8505G7X</t>
  </si>
  <si>
    <t>V2JNP-GG7DH-BBY64-VP2BM-B4G7X</t>
  </si>
  <si>
    <t>PC212</t>
  </si>
  <si>
    <t>CE-00246A01-19</t>
  </si>
  <si>
    <t>Vick Lim</t>
  </si>
  <si>
    <t>E4E7493FCB20</t>
  </si>
  <si>
    <t>PC213</t>
  </si>
  <si>
    <t>CE-00249A01-19</t>
  </si>
  <si>
    <t>Carina Shia</t>
  </si>
  <si>
    <t>PC122</t>
  </si>
  <si>
    <t>CE-00042A01-13</t>
  </si>
  <si>
    <t>Hidayat</t>
  </si>
  <si>
    <t>SCA</t>
  </si>
  <si>
    <t>2CD05A74179F</t>
  </si>
  <si>
    <t xml:space="preserve">HP Probook 4341S </t>
  </si>
  <si>
    <t>2CE3110R77</t>
  </si>
  <si>
    <t>Core i5-3210M</t>
  </si>
  <si>
    <t>500GB  Smart SATA II</t>
  </si>
  <si>
    <t>D9KHP-XXCD2-89V3M-T9886-T8JFB</t>
  </si>
  <si>
    <t>FLIR Quick Report</t>
  </si>
  <si>
    <t xml:space="preserve">Nil </t>
  </si>
  <si>
    <t>PC211</t>
  </si>
  <si>
    <t>CE-00247A01-19</t>
  </si>
  <si>
    <t>EDE7493FCE00</t>
  </si>
  <si>
    <t>PC01</t>
  </si>
  <si>
    <t>OE-10-015/12</t>
  </si>
  <si>
    <t>Slitting Edge Guide</t>
  </si>
  <si>
    <t>Compaq E8440W Business Notebook</t>
  </si>
  <si>
    <t>CND0151L39</t>
  </si>
  <si>
    <t>FJDXD-QGWJD-GP4DH-MK86W-KQKG3</t>
  </si>
  <si>
    <t>i7 M620</t>
  </si>
  <si>
    <t>2.67GHz</t>
  </si>
  <si>
    <t>R3Y9P-TGM33-DYCYR-QPHJT-337BJ</t>
  </si>
  <si>
    <t>PC70</t>
  </si>
  <si>
    <t>OE-08-021/17</t>
  </si>
  <si>
    <t>Portege M600</t>
  </si>
  <si>
    <t>Z7045288W</t>
  </si>
  <si>
    <t>GG26D-QQ968-JC6F9-7RTMM-BY8QW</t>
  </si>
  <si>
    <t>Pentium Core Duo</t>
  </si>
  <si>
    <t>2.00GHz</t>
  </si>
  <si>
    <t>3GB</t>
  </si>
  <si>
    <t>WPCH3-KPVR8-84TM2-CC34P-V8THG</t>
  </si>
  <si>
    <t>PC106</t>
  </si>
  <si>
    <t>OE10-033/26</t>
  </si>
  <si>
    <t>Nurul</t>
  </si>
  <si>
    <t>192.168.21.15</t>
  </si>
  <si>
    <t>6C626D6C7B7A</t>
  </si>
  <si>
    <t>SGH036T2KZ</t>
  </si>
  <si>
    <t>BHG6J-6QFM9-RMQ9T-YHTBT-X2R3Q</t>
  </si>
  <si>
    <t>J38JB-38MB6-7B789-WY887-3Y84R</t>
  </si>
  <si>
    <t>PC118</t>
  </si>
  <si>
    <t>CE-00029A01-12</t>
  </si>
  <si>
    <t>192.168.0.175</t>
  </si>
  <si>
    <t>ProBook P4430S</t>
  </si>
  <si>
    <t>CNU1520WH1</t>
  </si>
  <si>
    <t>D8FJ2-WHKK6-VTGJJ-Q3YWD-HQHW2</t>
  </si>
  <si>
    <t>XH22Q-BXHMY-GHRQV-9KMVQ-DBJKF</t>
  </si>
  <si>
    <t>PC152</t>
  </si>
  <si>
    <t>D04</t>
  </si>
  <si>
    <t>CE-00091A01-17</t>
  </si>
  <si>
    <t>Neo Yan Ning</t>
  </si>
  <si>
    <t>192.168.21.13</t>
  </si>
  <si>
    <t>484D7ED2E334</t>
  </si>
  <si>
    <t>1PH81H2</t>
  </si>
  <si>
    <t>MY05KWV9M06976C20999</t>
  </si>
  <si>
    <t>6QNP4-3D3P6-CPB6K-GXVG8-33WYK</t>
  </si>
  <si>
    <t>PC164</t>
  </si>
  <si>
    <t>CE-00103A01-17</t>
  </si>
  <si>
    <t>Miscon</t>
  </si>
  <si>
    <t>192.168.0.156</t>
  </si>
  <si>
    <t>484D7ED30A80</t>
  </si>
  <si>
    <t>1PQ71H2</t>
  </si>
  <si>
    <t>MY05KWV9M06976C20985</t>
  </si>
  <si>
    <t>2NY28-JHMF7-8MVYW-9236W-HMH39</t>
  </si>
  <si>
    <t>PC176</t>
  </si>
  <si>
    <t>CE-00115A01-17</t>
  </si>
  <si>
    <t>Abdul Rahman</t>
  </si>
  <si>
    <t>192.168.0.226</t>
  </si>
  <si>
    <t>484D7ED31747</t>
  </si>
  <si>
    <t>1Q981H2</t>
  </si>
  <si>
    <t>MY05KWV9M06976C20698</t>
  </si>
  <si>
    <t>FF7NK-646H3-3DG42-78YTD-XHJYK</t>
  </si>
  <si>
    <t>PC186</t>
  </si>
  <si>
    <t>CE-00025A01-12</t>
  </si>
  <si>
    <t>Slitting Label Printer</t>
  </si>
  <si>
    <t>192.168.21.14</t>
  </si>
  <si>
    <t>082E5F241F1E</t>
  </si>
  <si>
    <t>SGH203QP6X</t>
  </si>
  <si>
    <t>MS Windows XP Pro (UPGRADABLE)</t>
  </si>
  <si>
    <t>Intel Core i3-2120</t>
  </si>
  <si>
    <t>PC42</t>
  </si>
  <si>
    <t>OE-03-0025A/20</t>
  </si>
  <si>
    <t>Barcode Printer</t>
  </si>
  <si>
    <t>Warehouse Office</t>
  </si>
  <si>
    <t>192.168.0.163</t>
  </si>
  <si>
    <t>406:86C6AD42</t>
  </si>
  <si>
    <t>Acer Veriton 5600G</t>
  </si>
  <si>
    <t>56G00044SE334001</t>
  </si>
  <si>
    <t>TFM8Y-MDWW7-694CW-M7YFX-THVHJ</t>
  </si>
  <si>
    <t>2.60GHz</t>
  </si>
  <si>
    <t>MS Office XP Pro</t>
  </si>
  <si>
    <t>RHB6J-FJ9PM-R34BT-CRBPR-DV8DB</t>
  </si>
  <si>
    <t>PC80</t>
  </si>
  <si>
    <t>OE09-006/05</t>
  </si>
  <si>
    <t>192.168.0.114</t>
  </si>
  <si>
    <t>00237D2AF7C1</t>
  </si>
  <si>
    <t>SGH90307VF</t>
  </si>
  <si>
    <t>898VT-FQPV2-87Y8H-TMFQW-M2MFG</t>
  </si>
  <si>
    <t>WRVDX-CCFQV-PFDHV-D9JXD-9VPQY</t>
  </si>
  <si>
    <t>PC101</t>
  </si>
  <si>
    <t>SW11.10</t>
  </si>
  <si>
    <t>D02</t>
  </si>
  <si>
    <t>OE-10-013/11</t>
  </si>
  <si>
    <t>Azmi</t>
  </si>
  <si>
    <t>192.168.21.162</t>
  </si>
  <si>
    <t>406186C6AD42</t>
  </si>
  <si>
    <t>HP Compaq  Pro 3000 MT</t>
  </si>
  <si>
    <t>SGH018RTF7</t>
  </si>
  <si>
    <t>C29BP-G4T78-4PYMK-W8GPM-RCXJK</t>
  </si>
  <si>
    <t>Q6HYK-GJ8MH-H4639-YY8Y7-YR3MJ</t>
  </si>
  <si>
    <t>PC147</t>
  </si>
  <si>
    <t>CE-00086A01-17</t>
  </si>
  <si>
    <t>Qistina</t>
  </si>
  <si>
    <t>192.168.21.165</t>
  </si>
  <si>
    <t>484D7ED2E14D</t>
  </si>
  <si>
    <t>1PF81H2</t>
  </si>
  <si>
    <t>MY05KWV9M06976C205DF</t>
  </si>
  <si>
    <t>PC150</t>
  </si>
  <si>
    <t>CE-00089A01-17</t>
  </si>
  <si>
    <t>Fadhlina</t>
  </si>
  <si>
    <t>192.168.21.167</t>
  </si>
  <si>
    <t>484D7ED2E63F</t>
  </si>
  <si>
    <t>1PGB1H2</t>
  </si>
  <si>
    <t>MY05KWV9M06976BG04D1</t>
  </si>
  <si>
    <t>D283Y-NB47F-F4F9D-42YV3-T6PMK</t>
  </si>
  <si>
    <t>PC159</t>
  </si>
  <si>
    <t>CE-00098A01-17</t>
  </si>
  <si>
    <t>Mun</t>
  </si>
  <si>
    <t>192.168.21.164</t>
  </si>
  <si>
    <t>484D7ED31941</t>
  </si>
  <si>
    <t>1PN31H2</t>
  </si>
  <si>
    <t>MY05KWV9M06976C20992</t>
  </si>
  <si>
    <t>9QKND-HHC2M-VYDQD-2YKCC-BTDHX</t>
  </si>
  <si>
    <t>PC160</t>
  </si>
  <si>
    <t>D01</t>
  </si>
  <si>
    <t>CE-00099A01-17</t>
  </si>
  <si>
    <t>192.168.21.163</t>
  </si>
  <si>
    <t>484D7ED30ACB</t>
  </si>
  <si>
    <t>1PN61H2</t>
  </si>
  <si>
    <t>MY05KWV9M06976C206D9</t>
  </si>
  <si>
    <t>XN2CJ-6BKCM-468BF-M4RRJ-DGPMK</t>
  </si>
  <si>
    <t>PC171</t>
  </si>
  <si>
    <t>CE-00110A01-17</t>
  </si>
  <si>
    <t>Ida</t>
  </si>
  <si>
    <t>192.168.21.166</t>
  </si>
  <si>
    <t>484D7ED2EEF0</t>
  </si>
  <si>
    <t>1Q131H2</t>
  </si>
  <si>
    <t>MY05KWV9M06976C2097A</t>
  </si>
  <si>
    <t>BVTHX-NRKPX-62V39-773KK-BKMQ9</t>
  </si>
  <si>
    <t>PC195</t>
  </si>
  <si>
    <t>CE-00215A01-18</t>
  </si>
  <si>
    <t>CK Chong</t>
  </si>
  <si>
    <t>PC198</t>
  </si>
  <si>
    <t>D05</t>
  </si>
  <si>
    <t>CE-00218A01-18</t>
  </si>
  <si>
    <t>Azam</t>
  </si>
  <si>
    <t>192.168.20.121</t>
  </si>
  <si>
    <t>PC21</t>
  </si>
  <si>
    <t>Phone System</t>
  </si>
  <si>
    <t>192.168.0.69</t>
  </si>
  <si>
    <t>Acer AR4300</t>
  </si>
  <si>
    <t>9130F0130900900365M</t>
  </si>
  <si>
    <t>MHJF8-QHP9P-B6YVF-C8VKY-TJCK3</t>
  </si>
  <si>
    <t>10GB</t>
  </si>
  <si>
    <t>MS Office 2000 (SB)</t>
  </si>
  <si>
    <t>R6RWR-B36C9-Y2DJM-KH2J3-QV6WT</t>
  </si>
  <si>
    <t>User Summary</t>
  </si>
  <si>
    <t>Quantity</t>
  </si>
  <si>
    <t>Total (User)</t>
  </si>
  <si>
    <t xml:space="preserve">Tomypak Summary of PC </t>
  </si>
  <si>
    <t>Row Labels</t>
  </si>
  <si>
    <t xml:space="preserve">Sum of OS XP </t>
  </si>
  <si>
    <t>Sum of OS 7</t>
  </si>
  <si>
    <t>Sum of OS 8</t>
  </si>
  <si>
    <t>Sum of OS 10</t>
  </si>
  <si>
    <t>Sum of Laptop</t>
  </si>
  <si>
    <t>Sum of Desktop</t>
  </si>
  <si>
    <t>Sum of Overall Qty PC</t>
  </si>
  <si>
    <t>Grand Total</t>
  </si>
  <si>
    <t>2nd Asset ID</t>
  </si>
  <si>
    <t>USEr</t>
  </si>
  <si>
    <t>PC02</t>
  </si>
  <si>
    <t>OE-06-0027/21</t>
  </si>
  <si>
    <t>DISPOSED</t>
  </si>
  <si>
    <t>79BNL1S (Express Code: 15801248080)</t>
  </si>
  <si>
    <t>BP4W9-KTC67-FF68C-6H3KG-9QHYW</t>
  </si>
  <si>
    <t>BBT2H-FH8HT-WBQVH-4X4QP-XDG8T</t>
  </si>
  <si>
    <t>PC03</t>
  </si>
  <si>
    <t>x found</t>
  </si>
  <si>
    <t>NO</t>
  </si>
  <si>
    <t>Linda</t>
  </si>
  <si>
    <t>R&amp;D Lab</t>
  </si>
  <si>
    <t>192.168.0.113</t>
  </si>
  <si>
    <t>HP dx2700 Microtower</t>
  </si>
  <si>
    <t>SGH7470494</t>
  </si>
  <si>
    <t>CXQCH-X9478-B8YGW-7CV2B-XJF7D</t>
  </si>
  <si>
    <t>W4YCV-3GVRK-Q9JCT-9FRQJ-R7PQT</t>
  </si>
  <si>
    <t>Printing - Flexso</t>
  </si>
  <si>
    <t>DTP Office</t>
  </si>
  <si>
    <t>QC General - Jefri</t>
  </si>
  <si>
    <t>PC07</t>
  </si>
  <si>
    <t>192.168.0.177</t>
  </si>
  <si>
    <t>HP Compaq d530CMT</t>
  </si>
  <si>
    <t>SGH4140613</t>
  </si>
  <si>
    <t>B8D8C-WKBMQ-2W69F-3K86D-P6QDJ</t>
  </si>
  <si>
    <t>512MB+256MB</t>
  </si>
  <si>
    <t>J8C9M-6PD67-YT3FD-92DDX-B7GGW</t>
  </si>
  <si>
    <t>PC08</t>
  </si>
  <si>
    <t>OE-05-0008/06
OE-05-0016A/13</t>
  </si>
  <si>
    <t>HP Compaq dc7100</t>
  </si>
  <si>
    <t>SGH5200718</t>
  </si>
  <si>
    <t>KQ6JX-KP39B-Y3YJ2-QMBCD-3KGDM</t>
  </si>
  <si>
    <t>2.99GHz</t>
  </si>
  <si>
    <t>PMW72-2YHPJ-6XVWT-WHHH8-6JMXT</t>
  </si>
  <si>
    <t>PC09</t>
  </si>
  <si>
    <t>Wan Faridah</t>
  </si>
  <si>
    <t>Acer Veriton 5800</t>
  </si>
  <si>
    <t>V2100039SE550001</t>
  </si>
  <si>
    <t>VB9J2-YX4Y7-TBGF4-RJXYD-Q2GTY</t>
  </si>
  <si>
    <t>J6H28-8WVGT-BV43R-2F7J6-9C793</t>
  </si>
  <si>
    <t>QC - SATIQAH f(T)</t>
  </si>
  <si>
    <t>OE-03-0034/25
OE-03-0031A/22</t>
  </si>
  <si>
    <t>56G00002SE335007</t>
  </si>
  <si>
    <t>M2R6W-DM4R2-2WXPQ-VC927-XGW43</t>
  </si>
  <si>
    <t>256MB+512MB</t>
  </si>
  <si>
    <t>Q697J-8DP7G-VHRPB-H2HP3-JPMH6</t>
  </si>
  <si>
    <t>Kasmaton</t>
  </si>
  <si>
    <t>Fandi</t>
  </si>
  <si>
    <t>PC14</t>
  </si>
  <si>
    <t>OE-07-0029/29B</t>
  </si>
  <si>
    <t>SGH7340C2B</t>
  </si>
  <si>
    <t>R37GB-3GC9D-K867Q-88499-GQP3Q</t>
  </si>
  <si>
    <t>TH6RW-X94JH-6R6PR-D7WW7-W4PJM</t>
  </si>
  <si>
    <t>PC16</t>
  </si>
  <si>
    <t>COF TESTER-2</t>
  </si>
  <si>
    <t>192.168.1.8</t>
  </si>
  <si>
    <t>V32TG-YQ28V-BPJTW-4GKQQ-YGGX8</t>
  </si>
  <si>
    <t>BQ6JC-BPKHQ-BD83P-3938R-9V2Y3</t>
  </si>
  <si>
    <t>PC17</t>
  </si>
  <si>
    <t>IT Reseved</t>
  </si>
  <si>
    <t>192.168.0.158</t>
  </si>
  <si>
    <t>56G00002SE334013</t>
  </si>
  <si>
    <t>RVRPY-CBFH3-JHT23-FTJQW-QQ7HQ</t>
  </si>
  <si>
    <t>JPM8K-RC7YG-TBRHC-9PDHG-VH92J</t>
  </si>
  <si>
    <t>PC18</t>
  </si>
  <si>
    <t>OE-03-0027A/20</t>
  </si>
  <si>
    <t>56G00044SE334002</t>
  </si>
  <si>
    <t>CM93Y-GWG6G-BXQ2C-QJ389-V4RQY</t>
  </si>
  <si>
    <t>RX49Y-24WFR-8KY94-JKBYF-PWJ6D</t>
  </si>
  <si>
    <t>PC19</t>
  </si>
  <si>
    <t>Unknow</t>
  </si>
  <si>
    <t>192.168.0.217 (152)</t>
  </si>
  <si>
    <t>HP Compaq 6530s</t>
  </si>
  <si>
    <t>CNU8415BQS</t>
  </si>
  <si>
    <t>W2Y6P-HBCKJ-BD423-36PKV-CCYFV</t>
  </si>
  <si>
    <t>JY8BR-M9WBT-MPYXQ-DYWTF-P6MVM</t>
  </si>
  <si>
    <t>Server Room</t>
  </si>
  <si>
    <t>Aizat</t>
  </si>
  <si>
    <t>PC24</t>
  </si>
  <si>
    <t>OE-03-0032-A/B/C/23</t>
  </si>
  <si>
    <t>V4CJ4-W9FVV-HX2QB-WGHB6-XJWQ8</t>
  </si>
  <si>
    <t>BPGKH-K83VH-KCXCV-XX7PP-66WF8</t>
  </si>
  <si>
    <t>PC25</t>
  </si>
  <si>
    <t>OE-07-0016/16</t>
  </si>
  <si>
    <t>SGH7130BQ7</t>
  </si>
  <si>
    <t>QBQ8W-38YMF-28D4D-D2TBV-8TFDY</t>
  </si>
  <si>
    <t>TBB7P-286CP-6D2GX-XJ6JG-QXYTT</t>
  </si>
  <si>
    <t>PC28</t>
  </si>
  <si>
    <t>x-hs tay, (x-eric)</t>
  </si>
  <si>
    <t>Acer Iconia Tab W501</t>
  </si>
  <si>
    <t>LE10602062144005506500</t>
  </si>
  <si>
    <t>MS Windows 7 Pro Full Pack</t>
  </si>
  <si>
    <t>3JM9H-CCK23-WYQQQ-6223J-F7F9W</t>
  </si>
  <si>
    <t>AMD C Series</t>
  </si>
  <si>
    <t>1.0GHz</t>
  </si>
  <si>
    <t>2GB DDR</t>
  </si>
  <si>
    <t>MHXPF-3GCQJ-P4KGW-9F6B7-T8XVX</t>
  </si>
  <si>
    <t>INSTRON</t>
  </si>
  <si>
    <t>QC down stair</t>
  </si>
  <si>
    <t>PC30</t>
  </si>
  <si>
    <t>OE-06-0029/21</t>
  </si>
  <si>
    <t>99BNL1S</t>
  </si>
  <si>
    <t>MGGKT-DDGTD-QBCVW-JF3FG-CKHJQ</t>
  </si>
  <si>
    <t>QPD22-62XYF-V3WM8-TFYKW-QXPCD</t>
  </si>
  <si>
    <t>Bai</t>
  </si>
  <si>
    <t>PC31</t>
  </si>
  <si>
    <t>OE-03-0012A/11</t>
  </si>
  <si>
    <t>192.168.0.33</t>
  </si>
  <si>
    <t>HP Compaq Evo D510MT</t>
  </si>
  <si>
    <t>7250KN8Z1690</t>
  </si>
  <si>
    <t>DCD84-TG7RD-93VWJ-X6V3V-8Q3CM</t>
  </si>
  <si>
    <t>256+512MB</t>
  </si>
  <si>
    <t>XR9DD-68F2Q-G6WRK-7RQV6-FRHPT</t>
  </si>
  <si>
    <t>PC32</t>
  </si>
  <si>
    <t>OE-07-0040/40</t>
  </si>
  <si>
    <t>x-emy</t>
  </si>
  <si>
    <t>192.168.0.200</t>
  </si>
  <si>
    <t>SGH7470451</t>
  </si>
  <si>
    <t>PRBP7-VKV92-MXGHC-9HR7F-FKK2D</t>
  </si>
  <si>
    <t>MQ4BG-M6PRQ-GYQXX-7RY23-MX93Y</t>
  </si>
  <si>
    <t>PC33</t>
  </si>
  <si>
    <t>OE-07-0025/25A</t>
  </si>
  <si>
    <t>Assemble (Deluxe)</t>
  </si>
  <si>
    <t>BHQM6-V697M-9K8JJ-R2PHK-FW84B</t>
  </si>
  <si>
    <t>Intel 2140</t>
  </si>
  <si>
    <t>H9YH4-7CYFG-K8CK8-CHQ7M-9GXX6</t>
  </si>
  <si>
    <t>Hafiz</t>
  </si>
  <si>
    <t>Lamination-Qc Lab</t>
  </si>
  <si>
    <t>PC39</t>
  </si>
  <si>
    <t>OE-96-0021/17</t>
  </si>
  <si>
    <t>WVTR1</t>
  </si>
  <si>
    <t>AcerMate920</t>
  </si>
  <si>
    <t>MS Dos 6.22</t>
  </si>
  <si>
    <t>Cyrix 486DX2</t>
  </si>
  <si>
    <t>66MHz</t>
  </si>
  <si>
    <t>32MB</t>
  </si>
  <si>
    <t>250MB</t>
  </si>
  <si>
    <t>Mocon WVP Analysis Sys Software V2.6.26</t>
  </si>
  <si>
    <t>030-460</t>
  </si>
  <si>
    <t>PC40</t>
  </si>
  <si>
    <t>WVTR2</t>
  </si>
  <si>
    <t>Acer Power 4300</t>
  </si>
  <si>
    <t>AM 33601 128XE</t>
  </si>
  <si>
    <t>MS Dos 6.21</t>
  </si>
  <si>
    <t>550MHz</t>
  </si>
  <si>
    <t>PC41</t>
  </si>
  <si>
    <t>OE-06-0034/25</t>
  </si>
  <si>
    <t>WarehoUSE Barcode Printer</t>
  </si>
  <si>
    <t>WarehoUSE Office</t>
  </si>
  <si>
    <t>QC-Warehouse Office</t>
  </si>
  <si>
    <t>PC44</t>
  </si>
  <si>
    <t>OE-07-0039/39</t>
  </si>
  <si>
    <t>SGH747048W</t>
  </si>
  <si>
    <t>V9X9J-9PTWK-334PW-83Y2T-YXK7G</t>
  </si>
  <si>
    <t>FBJYP-TWYYH-2MB2M-WFGPH-GVW6Y</t>
  </si>
  <si>
    <t>PC45</t>
  </si>
  <si>
    <t>OE-06-0038/26</t>
  </si>
  <si>
    <t xml:space="preserve">DGLPM1S </t>
  </si>
  <si>
    <t>K4CBK-C8QWX-3J24M-JJ8RC-PP246</t>
  </si>
  <si>
    <t>KGPFW-8TFVH-2Y7TH-WMFQ6-9W82G</t>
  </si>
  <si>
    <t>TENSILE</t>
  </si>
  <si>
    <t>PC47</t>
  </si>
  <si>
    <t>To be disposed. Parts were seperated &amp; being USEd by R&amp;D Machine</t>
  </si>
  <si>
    <t>OTP</t>
  </si>
  <si>
    <t>PC48</t>
  </si>
  <si>
    <t>OE-07-0038/38</t>
  </si>
  <si>
    <t>IT (Acc Present Disposed)</t>
  </si>
  <si>
    <t>SGH7480338</t>
  </si>
  <si>
    <t>FMWGB-7DV7J-W6RVC-6WH73-P6QHM</t>
  </si>
  <si>
    <t>KYFK7-3B7WB-RMGCR-4Y932-R73QD</t>
  </si>
  <si>
    <t>PC49</t>
  </si>
  <si>
    <t>OE-03-0047/37</t>
  </si>
  <si>
    <t>QA Manager</t>
  </si>
  <si>
    <t>Compaq d530MT</t>
  </si>
  <si>
    <t>SGH3450BMC</t>
  </si>
  <si>
    <t>WF9XD-W694J-278X4-467F9-QRC3D</t>
  </si>
  <si>
    <t>DF694-FB697-927PW-GQDVC-2W9HQ</t>
  </si>
  <si>
    <t>PC50</t>
  </si>
  <si>
    <t>OE-03-0038A/29</t>
  </si>
  <si>
    <t>Science</t>
  </si>
  <si>
    <t>VQF82-6FCKG-8YKC8-8TDBT-4H8WJ</t>
  </si>
  <si>
    <t>1.8GHz</t>
  </si>
  <si>
    <t>128MB</t>
  </si>
  <si>
    <t>20GB</t>
  </si>
  <si>
    <t>TestXpert V10.1 ( Standard )</t>
  </si>
  <si>
    <t>WN153396</t>
  </si>
  <si>
    <t>PC51</t>
  </si>
  <si>
    <t>LE-04-0001C/1</t>
  </si>
  <si>
    <t>Dimension 2400</t>
  </si>
  <si>
    <t>CY0Y098-708</t>
  </si>
  <si>
    <t>Ms Windows XP Home Edition</t>
  </si>
  <si>
    <t>MGTH2-QX64R-FXFQK-69DRM-27XJT</t>
  </si>
  <si>
    <t>Celeron</t>
  </si>
  <si>
    <t>37.2GB</t>
  </si>
  <si>
    <t>RDM-CF800 COF Tester ( V5.06 )</t>
  </si>
  <si>
    <t>P/N: 777421L-03</t>
  </si>
  <si>
    <t>Katijah / Atikah</t>
  </si>
  <si>
    <t xml:space="preserve">Rashid / vacant </t>
  </si>
  <si>
    <t>PC54</t>
  </si>
  <si>
    <t>OE-06-0010/10A</t>
  </si>
  <si>
    <t>HP Compaq dx2100</t>
  </si>
  <si>
    <t>SGH612069R</t>
  </si>
  <si>
    <t>MYXPC-VH36K-W9WJP-B8J3C-4RP8M</t>
  </si>
  <si>
    <t>QYF4Q-DJMMD-4YGPB-GDCGR-HGV9Q</t>
  </si>
  <si>
    <t>PC55</t>
  </si>
  <si>
    <t>OE-01-0052A/46</t>
  </si>
  <si>
    <t>S58M VT5100</t>
  </si>
  <si>
    <t>38H01038XE34017</t>
  </si>
  <si>
    <t>MMJ2M-Y3HKF-7VH9D-PPTJ8-FXRX8</t>
  </si>
  <si>
    <t>996MHz</t>
  </si>
  <si>
    <t>MS Office 2000 Standard</t>
  </si>
  <si>
    <t>CYHH6-DY4K7-23XWC-K7Y3V-7RGJT</t>
  </si>
  <si>
    <t>Asiyan</t>
  </si>
  <si>
    <t>Mellisa</t>
  </si>
  <si>
    <t>PC59</t>
  </si>
  <si>
    <t>OE-04-0006A/6</t>
  </si>
  <si>
    <t>Mechanical</t>
  </si>
  <si>
    <t>Acer CL51Travelmate 290 Series</t>
  </si>
  <si>
    <t>LXT350511241021370EB00</t>
  </si>
  <si>
    <t>THJ6W-RC9HW-RWGVM-KBXTK-MP98J</t>
  </si>
  <si>
    <t>1.4GHz</t>
  </si>
  <si>
    <t>TYG4B-C94KG-QHVYT-QVWPM-3JHC8</t>
  </si>
  <si>
    <t>PC60</t>
  </si>
  <si>
    <t>OE-04-0025A/17</t>
  </si>
  <si>
    <t>SGH42100B5</t>
  </si>
  <si>
    <t>C2M7P-XB4V9-R3V49-VT3RD-MQ96Y</t>
  </si>
  <si>
    <t>MS Office Professional Edition 2003</t>
  </si>
  <si>
    <t>V9FGX-4MC9B-P77M9-2VHVG-HXYXJ</t>
  </si>
  <si>
    <t>Jack Chow x  IT</t>
  </si>
  <si>
    <t>PC62</t>
  </si>
  <si>
    <t>OE-05-0028/21A</t>
  </si>
  <si>
    <t>Dispose</t>
  </si>
  <si>
    <t>Satellite A80</t>
  </si>
  <si>
    <t>85298412K</t>
  </si>
  <si>
    <t>MS Windows XP Home Edition</t>
  </si>
  <si>
    <t>V944P-6TXQ6-JT32K-W9YGK-YX63J</t>
  </si>
  <si>
    <t>Pentium M</t>
  </si>
  <si>
    <t>WBRKY-KF2YK-6QP4B-F8VGK-4X93J</t>
  </si>
  <si>
    <t>Prod. Training Room</t>
  </si>
  <si>
    <t>Production</t>
  </si>
  <si>
    <t>Production Meeting Room</t>
  </si>
  <si>
    <t>PC66</t>
  </si>
  <si>
    <t>OE-05-0018/15</t>
  </si>
  <si>
    <t>HP Compaq dc7100 MT</t>
  </si>
  <si>
    <t>SGH52206FN</t>
  </si>
  <si>
    <t>JFFDC-9C4BK-Y9QW2-6H4X7-4MKPJ</t>
  </si>
  <si>
    <t>FJMKV-QYCP8-J336B-4CXJP-7Q868</t>
  </si>
  <si>
    <t>PC67</t>
  </si>
  <si>
    <t>OE-05-0021/17</t>
  </si>
  <si>
    <t>HP Compaq dc7100 CMT</t>
  </si>
  <si>
    <t>SGH529072K</t>
  </si>
  <si>
    <t>J3DVT-BJPV8-2WC64-2WC64-78Y78-PG32Y</t>
  </si>
  <si>
    <t>TDJKR-QCF8H-9DC9Y-WTB63-G73J6</t>
  </si>
  <si>
    <t>PC68</t>
  </si>
  <si>
    <t>OE-06-0019/17</t>
  </si>
  <si>
    <t>HP Compaq dx7200 Microtower</t>
  </si>
  <si>
    <t>SGH6250FMD</t>
  </si>
  <si>
    <t>GYPRJ-C2J8F-YXXBM-FV3WD-YMYQ9</t>
  </si>
  <si>
    <t>WHHBD-8B7HX-Y7HW9-KV82P-K84KQ</t>
  </si>
  <si>
    <t>PC72</t>
  </si>
  <si>
    <t>OE-06-0028/21</t>
  </si>
  <si>
    <t>89BNL1S</t>
  </si>
  <si>
    <t>RVP6M-9K4KK-78DBQ-R3WBH-RJXCB</t>
  </si>
  <si>
    <t>3.50GHz</t>
  </si>
  <si>
    <t>GH84G-VTVKB-7Y92D-JMMTV-G99WT</t>
  </si>
  <si>
    <t>PC73</t>
  </si>
  <si>
    <t>OE-06-0033/24</t>
  </si>
  <si>
    <t>4R3WL1S</t>
  </si>
  <si>
    <t>C2J4P-PXT4J-RT4GK-Q9T4F-GBPJG</t>
  </si>
  <si>
    <t>1GB + 256MB</t>
  </si>
  <si>
    <t>JRH84-3YY2D-6MCV2-4FFKD-396CG</t>
  </si>
  <si>
    <t>PC75</t>
  </si>
  <si>
    <t>OE08-005/05</t>
  </si>
  <si>
    <t>SGH80202SZ</t>
  </si>
  <si>
    <t>HYMQH-2RHTX-V2TK6-K2QYY-2PPQY</t>
  </si>
  <si>
    <t>F9DCK-62P3R-M9RBQ-6TTDK-QQ2QW</t>
  </si>
  <si>
    <t>PC76</t>
  </si>
  <si>
    <t>OE08-020/16</t>
  </si>
  <si>
    <t>SGH804095S</t>
  </si>
  <si>
    <t>P6HH4-Y4JVJ-6BM4Y-9TP7Q-27QFM</t>
  </si>
  <si>
    <t>G8TB4-HJ2RW-BHW7D-G6R2T-VKW3W</t>
  </si>
  <si>
    <t>PC77</t>
  </si>
  <si>
    <t>OE-07-0025/25B</t>
  </si>
  <si>
    <t xml:space="preserve">Assemble </t>
  </si>
  <si>
    <t>WFC7Y-CXDT9-CBFJG-4FVT9-R4YYQ</t>
  </si>
  <si>
    <t>RDYMK-QKPYQ-PPD7T-33P97-T3FHG</t>
  </si>
  <si>
    <t>PC78</t>
  </si>
  <si>
    <t>OE08-046/39</t>
  </si>
  <si>
    <t>Simon</t>
  </si>
  <si>
    <t>192.168.0.148</t>
  </si>
  <si>
    <t>HP Compaq 6530S</t>
  </si>
  <si>
    <t>CNU8415CN3</t>
  </si>
  <si>
    <t>267D3-4JPD4-BPQQB-82YXM-PD9GQ</t>
  </si>
  <si>
    <t>JFVTJ-TKJCJ-PM2CY-PB7VW-DPPQY</t>
  </si>
  <si>
    <t>Pttampoi</t>
  </si>
  <si>
    <t xml:space="preserve">Printing Office </t>
  </si>
  <si>
    <t>Chole</t>
  </si>
  <si>
    <t>PC84</t>
  </si>
  <si>
    <t>OE-05-0034/26A</t>
  </si>
  <si>
    <t>V2100039SE550031</t>
  </si>
  <si>
    <t>QH6F6-26RF7-YPQVP-9WCRR-KJHQJ</t>
  </si>
  <si>
    <t>KYXH9-XJ68T-R7J2B-WTXXD-HWHDQ</t>
  </si>
  <si>
    <t>RND Office</t>
  </si>
  <si>
    <t>PC87</t>
  </si>
  <si>
    <t>OE-07-0011/11</t>
  </si>
  <si>
    <t>CCTV (SPARE FOR MACHINING)</t>
  </si>
  <si>
    <t>unknow</t>
  </si>
  <si>
    <t>192.168.0.99</t>
  </si>
  <si>
    <t>0012125FEE4D</t>
  </si>
  <si>
    <t>Came with CCTV Set</t>
  </si>
  <si>
    <t>FPHQB-FM66V-Q36WR-KH8J6-G2VVD</t>
  </si>
  <si>
    <t>480GB</t>
  </si>
  <si>
    <t>PC89</t>
  </si>
  <si>
    <t>OE-01-0059A/54</t>
  </si>
  <si>
    <t>Wan</t>
  </si>
  <si>
    <t>37P0501XE143161</t>
  </si>
  <si>
    <t>P3KXY-7HRJ2-J7V4D-2TGV9-6GQKM</t>
  </si>
  <si>
    <t>640MB</t>
  </si>
  <si>
    <t>QGFKF-WCHK3-FX6QP-W3F7D-WW2MW</t>
  </si>
  <si>
    <t>Bahari</t>
  </si>
  <si>
    <t>PC93</t>
  </si>
  <si>
    <t>OE09-027/19</t>
  </si>
  <si>
    <t>Lau</t>
  </si>
  <si>
    <t>HP Compaq C2230S T5870</t>
  </si>
  <si>
    <t>CNU92959KZ</t>
  </si>
  <si>
    <t>GBXCJ-JG7QF-RD8YM-YDF8P-CC96B</t>
  </si>
  <si>
    <t>2GB DDR2</t>
  </si>
  <si>
    <t>XCDP8-C7KX7-GJXGV-H3WRW-DCVBD</t>
  </si>
  <si>
    <t>PC94</t>
  </si>
  <si>
    <t>OE-06-0013/12A</t>
  </si>
  <si>
    <t>no power supply</t>
  </si>
  <si>
    <t>SGH612069J</t>
  </si>
  <si>
    <t>QFXWM-89YKK-HWPFY-6D7YW-334YQ</t>
  </si>
  <si>
    <t>P7PWP-9FBP2-FX846-3TKWY-2C3JB</t>
  </si>
  <si>
    <t>PC95</t>
  </si>
  <si>
    <t>OE-06-0036/25</t>
  </si>
  <si>
    <t>7FPCM1S (Express Code: 16187047840)</t>
  </si>
  <si>
    <t>WCTYV-88VG7-V73H8-RDM8H-HVQBW</t>
  </si>
  <si>
    <t>1GB+256MB</t>
  </si>
  <si>
    <t>W9H7K-8Q343-W7BJX-G8KR8-DM68T</t>
  </si>
  <si>
    <t>PC96</t>
  </si>
  <si>
    <t>OE-05-0009/07</t>
  </si>
  <si>
    <t>SGH51000NQ</t>
  </si>
  <si>
    <t>VY3BP-C9BRP-MKRXB-823JP-DTWDJ</t>
  </si>
  <si>
    <t>256MB+256MB</t>
  </si>
  <si>
    <t>PWXCJ-90QPD-DG73W-68GKV-WMJ66</t>
  </si>
  <si>
    <t>Fadli</t>
  </si>
  <si>
    <t>PRINTNG 9 STATION B</t>
  </si>
  <si>
    <t>PRINTING</t>
  </si>
  <si>
    <t>PRINTING 9 STATION B</t>
  </si>
  <si>
    <t>Haizam</t>
  </si>
  <si>
    <t>Mohd Noor / Latif</t>
  </si>
  <si>
    <t>PC111</t>
  </si>
  <si>
    <t>OE11-023/11</t>
  </si>
  <si>
    <t>SW Foo</t>
  </si>
  <si>
    <t>192.168.0.161</t>
  </si>
  <si>
    <t xml:space="preserve">HP Compaq 4321S </t>
  </si>
  <si>
    <t>CNF1070QTX</t>
  </si>
  <si>
    <t>YPJVD-YWXCK-62CV9-9GFFD-JCR97</t>
  </si>
  <si>
    <t>Pentium Core i3-380M</t>
  </si>
  <si>
    <t>2.53GHz</t>
  </si>
  <si>
    <t>VT68Q-3Q82T-BCMYF-7YYQP-JGWCM</t>
  </si>
  <si>
    <t>Sukeertha (Barcode printer)</t>
  </si>
  <si>
    <t>Purchase Office</t>
  </si>
  <si>
    <t>Flexso</t>
  </si>
  <si>
    <t>PC125</t>
  </si>
  <si>
    <t>1F02</t>
  </si>
  <si>
    <t>CE-00047A01-13</t>
  </si>
  <si>
    <t>CLLiew - IT</t>
  </si>
  <si>
    <t>000000000967</t>
  </si>
  <si>
    <t>ASUS</t>
  </si>
  <si>
    <t>Taichi 31-CX018P</t>
  </si>
  <si>
    <t>D3N0CY40317813E</t>
  </si>
  <si>
    <t>8 Pro 64-bits</t>
  </si>
  <si>
    <t>Activation ID: 00180-10560-97011-AAQEM</t>
  </si>
  <si>
    <t>Core i7-3537U</t>
  </si>
  <si>
    <t>256GB SATA III SSD</t>
  </si>
  <si>
    <t>J6FXJ-MNWPT-483DH-Y3JXG-72W9D</t>
  </si>
  <si>
    <t>License #9 of 10</t>
  </si>
  <si>
    <t>PC126</t>
  </si>
  <si>
    <t>CE-00052A01-14</t>
  </si>
  <si>
    <t>192.168.0.197</t>
  </si>
  <si>
    <t>YD155148H</t>
  </si>
  <si>
    <t>MKXTN-D9CTQ-CFRGH-C2BTJ-2GWC3</t>
  </si>
  <si>
    <t>Acrobat Adobe 8</t>
  </si>
  <si>
    <t>KWE500R7547443-882 (1118-1376-9826-1169-9016-1064)</t>
  </si>
  <si>
    <t>License #2of 10</t>
  </si>
  <si>
    <t xml:space="preserve">Helmi </t>
  </si>
  <si>
    <t>SY Wong x / IT</t>
  </si>
  <si>
    <t>Sandy Woo</t>
  </si>
  <si>
    <t>TJ Lim</t>
  </si>
  <si>
    <t>Haziqah</t>
  </si>
  <si>
    <t>Lamination office</t>
  </si>
  <si>
    <t>Ila</t>
  </si>
  <si>
    <t>Production office</t>
  </si>
  <si>
    <t>Asyraf - QC Incoming Warehouse</t>
  </si>
  <si>
    <t>KY Cheong</t>
  </si>
  <si>
    <t xml:space="preserve">Saman </t>
  </si>
  <si>
    <t>Maizun</t>
  </si>
  <si>
    <t>Candice</t>
  </si>
  <si>
    <t>Zira</t>
  </si>
  <si>
    <t>Amanina</t>
  </si>
  <si>
    <t>Fatimah</t>
  </si>
  <si>
    <t>pc173</t>
  </si>
  <si>
    <t>Uwastun</t>
  </si>
  <si>
    <t>Sales KL</t>
  </si>
  <si>
    <t>Nadia - Intern</t>
  </si>
  <si>
    <t>PC182</t>
  </si>
  <si>
    <t>CE-00147B01-17</t>
  </si>
  <si>
    <t>DTP</t>
  </si>
  <si>
    <t>192.168.20.205</t>
  </si>
  <si>
    <t>003EE1CC0DFD</t>
  </si>
  <si>
    <t>PK NG</t>
  </si>
  <si>
    <t>Label Printer</t>
  </si>
  <si>
    <t>Cyclinder Room</t>
  </si>
  <si>
    <t>PC188</t>
  </si>
  <si>
    <t>CE-00148B01-17</t>
  </si>
  <si>
    <t>192.168.20.207</t>
  </si>
  <si>
    <t>003EE1CC03E2</t>
  </si>
  <si>
    <t>Sivaneswari</t>
  </si>
  <si>
    <t>Nadia</t>
  </si>
  <si>
    <t>Jackchow</t>
  </si>
  <si>
    <t>Metz &amp; CPP</t>
  </si>
  <si>
    <t xml:space="preserve">Laptop </t>
  </si>
  <si>
    <t>Fu Soon</t>
  </si>
  <si>
    <t>Zanty</t>
  </si>
  <si>
    <t>Flexso Office</t>
  </si>
  <si>
    <t>PT9</t>
  </si>
  <si>
    <t>Printing Machine</t>
  </si>
  <si>
    <t>Joey Kuan</t>
  </si>
  <si>
    <t>Lee Bian Hui</t>
  </si>
  <si>
    <t>PC DISPOSED</t>
  </si>
  <si>
    <t>PC NOT FOUND</t>
  </si>
  <si>
    <t>TOTAL PC</t>
  </si>
  <si>
    <t>DELL DIMENSION 3100 (PC-02)</t>
  </si>
  <si>
    <t>HP COMPAQ DC7100 (PC-08)</t>
  </si>
  <si>
    <t>Acc</t>
  </si>
  <si>
    <t>ACER VERITON 5600G (PC-10)</t>
  </si>
  <si>
    <t>pc10</t>
  </si>
  <si>
    <t>HP COMPAQ dx2700 MICROTOWER (PC-14)</t>
  </si>
  <si>
    <t>Bm</t>
  </si>
  <si>
    <t>ACER VERITON 5600G (PC-18)</t>
  </si>
  <si>
    <t>ACER VERITON 5600G (PC-24)</t>
  </si>
  <si>
    <t>HP COMPAQ dx2700 MICROTOWER (PC-25)</t>
  </si>
  <si>
    <t>HP COMPAQ EVO D510MT (PC-31)</t>
  </si>
  <si>
    <t>ASSEMBLE (DELUXE) (PC-33)</t>
  </si>
  <si>
    <t>DELL DIMENSION 3100 (PC-41)</t>
  </si>
  <si>
    <t>HP COMPAQ DX2700 MICROTOWER (PC-44)</t>
  </si>
  <si>
    <t>Lam</t>
  </si>
  <si>
    <t>DELL DIMENSION 3100 (PC-45)</t>
  </si>
  <si>
    <t>Maint</t>
  </si>
  <si>
    <t>SCIENCE (PC-50)</t>
  </si>
  <si>
    <t>DIMENSION 2400 (PC-51)</t>
  </si>
  <si>
    <t>Plan</t>
  </si>
  <si>
    <t>HP COMPAQ D530MT (PC-60)</t>
  </si>
  <si>
    <t>Prt</t>
  </si>
  <si>
    <t>HP COMPAQ DC7100 MT (PC-66)</t>
  </si>
  <si>
    <t>Prod</t>
  </si>
  <si>
    <t>HP COMPAQ dx2700 MICROTOWER (PC-68)</t>
  </si>
  <si>
    <t>Pur</t>
  </si>
  <si>
    <t>DELL DIMENSION 3100 (PC-73)</t>
  </si>
  <si>
    <t>HP COMPAQ dx2700 MICROTOWER (PC-75)</t>
  </si>
  <si>
    <t>HP COMPAQ dx2700 MICROTOWER (PC-76)</t>
  </si>
  <si>
    <t>ASSEMBLE (PC-77)</t>
  </si>
  <si>
    <t>HP COMPAQ 6530S (PC-78)</t>
  </si>
  <si>
    <t>Slit</t>
  </si>
  <si>
    <t>ACER VERITON 5800 (PC-84)</t>
  </si>
  <si>
    <t>HP COMPAQ C2230S T5870 (PC-93)</t>
  </si>
  <si>
    <t>No found</t>
  </si>
  <si>
    <t>HP COMPAQ DX2100 MICROTOWER (PC-94)</t>
  </si>
  <si>
    <t>Keep</t>
  </si>
  <si>
    <t>DELL DIMENSION 3100 (PC-95)</t>
  </si>
  <si>
    <t>Total</t>
  </si>
  <si>
    <t>HP COMPAQ DC7100 MT (PC-96)</t>
  </si>
  <si>
    <t>HP COMPAQ DX2100 (PC-54)</t>
  </si>
  <si>
    <t>DELL DIMENSION 3100 (PC-26)</t>
  </si>
  <si>
    <t>HP COMPAQ DC7100 MT (PC-67)</t>
  </si>
  <si>
    <t>DELL DIMENSION 3100 (PC-72)</t>
  </si>
  <si>
    <t>IP ADDRESS FOR QC OFFICE</t>
  </si>
  <si>
    <t>Najwa</t>
  </si>
  <si>
    <t>192.168.20.132</t>
  </si>
  <si>
    <t>Nurleza</t>
  </si>
  <si>
    <t>Daniel</t>
  </si>
  <si>
    <t>192.168.20.11</t>
  </si>
  <si>
    <t>Siti</t>
  </si>
  <si>
    <t>Satiqah</t>
  </si>
  <si>
    <t>EMAIL AND PASSWORD USER</t>
  </si>
  <si>
    <t>coa@tomypak.com.my</t>
  </si>
  <si>
    <t>coa</t>
  </si>
  <si>
    <t>110Caoq4</t>
  </si>
  <si>
    <t>farahsyahirah@tomypak.com.my</t>
  </si>
  <si>
    <t>farah</t>
  </si>
  <si>
    <t>379765St1</t>
  </si>
  <si>
    <t>hanaqc@tomypak.com.my</t>
  </si>
  <si>
    <t>hanaqc</t>
  </si>
  <si>
    <t>8f2a68Mi5</t>
  </si>
  <si>
    <t>herbie@tomypak.com.my</t>
  </si>
  <si>
    <t>herbie</t>
  </si>
  <si>
    <t>f46d02Xw8</t>
  </si>
  <si>
    <t>norlezar@tomypak.com.my</t>
  </si>
  <si>
    <t>norlezar</t>
  </si>
  <si>
    <t>64e230Qq1</t>
  </si>
  <si>
    <t>qcchemist_slitting@tomypak.com.my</t>
  </si>
  <si>
    <t>qcchemist_slitting</t>
  </si>
  <si>
    <t>9132c8Va6</t>
  </si>
  <si>
    <t>qc_chemist01@tomypak.com.my</t>
  </si>
  <si>
    <t>qc_chemist01</t>
  </si>
  <si>
    <t>387d82He3</t>
  </si>
  <si>
    <t>qc_chemist02@tomypak.com.my</t>
  </si>
  <si>
    <t>qc_chemist02</t>
  </si>
  <si>
    <t>d53671Cf8</t>
  </si>
  <si>
    <t>qcgeneral@tomypak.com.my</t>
  </si>
  <si>
    <t>Jefri Din</t>
  </si>
  <si>
    <t>e379c5Be5</t>
  </si>
  <si>
    <t>safiqah@tomypak.com.my</t>
  </si>
  <si>
    <t>safiqah</t>
  </si>
  <si>
    <t>326Nr73D4</t>
  </si>
  <si>
    <t>superqc@tomypak.com.my</t>
  </si>
  <si>
    <t>superqc</t>
  </si>
  <si>
    <t>7a7a93Hf7</t>
  </si>
  <si>
    <t>PC10</t>
  </si>
  <si>
    <t>Device_name</t>
  </si>
  <si>
    <t>Workgroup</t>
  </si>
  <si>
    <t>Remarks</t>
  </si>
  <si>
    <t>Device_type</t>
  </si>
  <si>
    <t>Employee_name</t>
  </si>
  <si>
    <t>Employee_id</t>
  </si>
  <si>
    <t>Previous_users</t>
  </si>
  <si>
    <t>Designation</t>
  </si>
  <si>
    <t>Purchased_year</t>
  </si>
  <si>
    <t>Handover_date</t>
  </si>
  <si>
    <t>Mac_address</t>
  </si>
  <si>
    <t>Serial_number</t>
  </si>
  <si>
    <t>M365_license</t>
  </si>
  <si>
    <t>Office_productkey</t>
  </si>
  <si>
    <t>HDD_capacity</t>
  </si>
  <si>
    <t>Anydesk_id</t>
  </si>
  <si>
    <t>Special_app</t>
  </si>
  <si>
    <t>App_licenses</t>
  </si>
  <si>
    <t>Batch_number</t>
  </si>
  <si>
    <t>Vendor_name</t>
  </si>
  <si>
    <t>__PowerAppsId__</t>
  </si>
  <si>
    <t>Registered</t>
  </si>
  <si>
    <t>Tok Fu Soon</t>
  </si>
  <si>
    <t>Apple</t>
  </si>
  <si>
    <t>M365 Standard</t>
  </si>
  <si>
    <t>00d239b9-49fa-438b-ba2d-7a9fe1d3bfe7</t>
  </si>
  <si>
    <t>256GB</t>
  </si>
  <si>
    <t>19c50918-a0d6-4bcd-8bb0-b7846ca2a657</t>
  </si>
  <si>
    <t>Handover</t>
  </si>
  <si>
    <t>25f61b8f-cbfa-4147-b8ca-39297c7dcf21</t>
  </si>
  <si>
    <t>56b92f4e-f65c-4f92-b3bd-a7202c5b61d2</t>
  </si>
  <si>
    <t>3af89436-6a58-46f8-8619-05153426bdfb</t>
  </si>
  <si>
    <t>f4695930-6c16-445c-94af-ab0968a65082</t>
  </si>
  <si>
    <t>Active</t>
  </si>
  <si>
    <t>5952256d-301c-4252-8073-ccfb5dd30b47</t>
  </si>
  <si>
    <t>500d1d8d-9e70-4b30-acfe-c6e703131181</t>
  </si>
  <si>
    <t>049c849c-15f0-4d20-8c48-b0b187df2d41</t>
  </si>
  <si>
    <t>7f20a51e-9843-46eb-9fa0-8931dc16d11b</t>
  </si>
  <si>
    <t>M365 Basic - 2016</t>
  </si>
  <si>
    <t>6e6ec635-bbe1-435e-a085-0aa1783fc4d2</t>
  </si>
  <si>
    <t>86770783-6599-428b-9a51-878289caeb64</t>
  </si>
  <si>
    <t>58fc8d5a-6641-41ef-aef8-55328ffc502a</t>
  </si>
  <si>
    <t>76a47e94-4f99-476f-811b-207cc5067bdf</t>
  </si>
  <si>
    <t>91dc40c7-46ec-4ef8-a5f8-9eb1181105f2</t>
  </si>
  <si>
    <t>Noreen</t>
  </si>
  <si>
    <t>6a43c50f-5331-44b6-9baf-8558f419f5ca</t>
  </si>
  <si>
    <t>bda3b303-dfe5-48c0-850f-e83e89192a7d</t>
  </si>
  <si>
    <t>1 895 206 971</t>
  </si>
  <si>
    <t>606d9dfc-9190-4271-a0b7-b72711be2cc3</t>
  </si>
  <si>
    <t>c2192022-c4d6-4e32-95fd-4eaedc059e26</t>
  </si>
  <si>
    <t>Salimah Bt. Noah</t>
  </si>
  <si>
    <t>Officer</t>
  </si>
  <si>
    <t>086169a0-cd67-4c8b-bd60-d35fa05b65a0</t>
  </si>
  <si>
    <t>d8b7f691-9288-479d-aac9-b750a8ece945</t>
  </si>
  <si>
    <t>1 411 019 644</t>
  </si>
  <si>
    <t>10ab8535-f503-4fb9-a0c7-c3ba6854ec6c</t>
  </si>
  <si>
    <t>5a41aaab-ce7a-477d-a101-c61559a4a230</t>
  </si>
  <si>
    <t>86677dfb-db4f-446b-bf0d-064f07077359</t>
  </si>
  <si>
    <t>195945a3-9748-49f0-9b25-4c11345c0617</t>
  </si>
  <si>
    <t>1671269e-81bf-4fc0-80e5-adc5ab072e4f</t>
  </si>
  <si>
    <t>0e20e334-bd2b-4eb9-815f-0a4f3672d449</t>
  </si>
  <si>
    <t>f4727c8e-c8ee-432d-9385-25465d32c98f</t>
  </si>
  <si>
    <t>Muhammad Syarif Wira'i Bin Abd Razak</t>
  </si>
  <si>
    <t>ed26c286-7785-4502-8499-bfeec82fbeee</t>
  </si>
  <si>
    <t>fb4c385a-47cd-4749-b0c7-7223d3b167a2</t>
  </si>
  <si>
    <t>Alice Lim</t>
  </si>
  <si>
    <t>fcdec26b-e8b3-492f-ae4d-eb803faa6088</t>
  </si>
  <si>
    <t>7d0267b2-efe3-4446-8d2a-3865047d0dd1</t>
  </si>
  <si>
    <t>Nor Suzila Binti Salemm</t>
  </si>
  <si>
    <t>8e383531-d58f-4e38-88c1-f734c2ca3fbc</t>
  </si>
  <si>
    <t>861fb56a-26c6-44fd-8371-637e53455616</t>
  </si>
  <si>
    <t>725c4210-34a3-4b88-8bb9-9c09fa7b8359</t>
  </si>
  <si>
    <t>c2eff058-0768-4aad-b028-1b5052b50823</t>
  </si>
  <si>
    <t>dae78c7a-3659-42d3-ac0d-c66dae33e3f7</t>
  </si>
  <si>
    <t>2678fa44-422a-4aeb-b2ba-4c3d6f0b918b</t>
  </si>
  <si>
    <t>b956aed2-6d65-4fd0-8ce0-da5ccc1dc975</t>
  </si>
  <si>
    <t>ff13e640-94b5-466e-98ca-0f8e1879a300</t>
  </si>
  <si>
    <t>Siti Nur Atiqah Binti Mohamed Haireen</t>
  </si>
  <si>
    <t>82685dce-f339-4bd8-8caf-e95067d9115c</t>
  </si>
  <si>
    <t>2ce5adc5-775d-498e-94a8-1cab2c9af8a3</t>
  </si>
  <si>
    <t>a1a3728d-684d-4213-81ce-42128722e9f5</t>
  </si>
  <si>
    <t>Replace BP Nge</t>
  </si>
  <si>
    <t>Alif Teoh Bin Mohd Shukri Teoh</t>
  </si>
  <si>
    <t>9316b753-4cd3-4e57-a9f7-7b22d72f7990</t>
  </si>
  <si>
    <t>8f677a2a-963f-475b-af03-b818d3d9e27e</t>
  </si>
  <si>
    <t>f30fa1ad-bff8-4234-9a76-ae367ae7a267</t>
  </si>
  <si>
    <t>HR Officer</t>
  </si>
  <si>
    <t>93046cb6-54f2-492e-8809-936f4de1a635</t>
  </si>
  <si>
    <t>DI</t>
  </si>
  <si>
    <t>Shahiran Bin Abdul Sofi</t>
  </si>
  <si>
    <t>Costing</t>
  </si>
  <si>
    <t>Senior Executive</t>
  </si>
  <si>
    <t>de3b577e-99aa-4e1c-aac6-fb383066811d</t>
  </si>
  <si>
    <t>c80850cf-362e-458f-a68d-23491d2be545</t>
  </si>
  <si>
    <t>f3187393-160c-48c5-a483-cb1c0089794f</t>
  </si>
  <si>
    <t>Sukeertha Binti Rawi Raveendran</t>
  </si>
  <si>
    <t>CPP &amp; Metalize</t>
  </si>
  <si>
    <t>Metalize Senior Executive</t>
  </si>
  <si>
    <t>7fb75dd4-ed6d-4737-a96d-edf6e436f479</t>
  </si>
  <si>
    <t>Ainna Dahlia Binti Hasrin</t>
  </si>
  <si>
    <t>Assistant - Sales Admin</t>
  </si>
  <si>
    <t>5d9a2a34-c297-468f-b660-d6400db95401</t>
  </si>
  <si>
    <t>Technical Manager / Bag Making Manager</t>
  </si>
  <si>
    <t>9578c06d-43b9-4e6d-801e-6e50355fffd4</t>
  </si>
  <si>
    <t>Yusmadi</t>
  </si>
  <si>
    <t>cc452f92-bd53-47d1-94ac-882c3ca83673</t>
  </si>
  <si>
    <t>Account &amp; Finance</t>
  </si>
  <si>
    <t>Accountant</t>
  </si>
  <si>
    <t>5154bf78-ac8b-4c55-9fdc-00ad093ee970</t>
  </si>
  <si>
    <t>Bee Peng</t>
  </si>
  <si>
    <t>Senior Sales Executive</t>
  </si>
  <si>
    <t>1cef0a6c-7bed-44af-b36f-892760fd0f11</t>
  </si>
  <si>
    <t>Ariff</t>
  </si>
  <si>
    <t>cc81fb16-7a99-48bc-9b6b-c60735ac976e</t>
  </si>
  <si>
    <t>Chief Transformation &amp; Chief Operating Officer</t>
  </si>
  <si>
    <t>19154d01-d9c5-4ad9-9aaa-1ccb3787dae9</t>
  </si>
  <si>
    <t>Suhaini Bt. Ab Rahman</t>
  </si>
  <si>
    <t>HR &amp; Admin</t>
  </si>
  <si>
    <t>ed1bf30a-b4be-4be4-a44a-6a409dc8fe90</t>
  </si>
  <si>
    <t>84d27444-9300-4d41-bb29-9f2b14c55ef1</t>
  </si>
  <si>
    <t>4879576b-ae32-4a76-82f3-918553462bc0</t>
  </si>
  <si>
    <t>83284fad-c96e-4e4c-ad0b-060a88e9ed74</t>
  </si>
  <si>
    <t>Atty Affiza Bt. Zainal</t>
  </si>
  <si>
    <t>Assistant Manager</t>
  </si>
  <si>
    <t>ebdc361b-8d5f-437f-b110-1259d6346462</t>
  </si>
  <si>
    <t>Puteri Nursyaera Binti Ishar</t>
  </si>
  <si>
    <t>Clerk</t>
  </si>
  <si>
    <t>e3ca1eaa-3c4e-4e8e-929f-ee81092d064f</t>
  </si>
  <si>
    <t>7224760d-66fb-4252-b6dc-311bf28d8872</t>
  </si>
  <si>
    <t>Directors</t>
  </si>
  <si>
    <t>Managing Director</t>
  </si>
  <si>
    <t>8015ad51-ec7e-4cb7-967b-c709f56f8bb8</t>
  </si>
  <si>
    <t>bc1826a2-5515-469d-9d07-b29824d0c9da</t>
  </si>
  <si>
    <t>Nur Amalina Bt. Abdullah Sani</t>
  </si>
  <si>
    <t>Executive</t>
  </si>
  <si>
    <t>4efd155c-0c1b-4f9f-9845-5f7a94f8903c</t>
  </si>
  <si>
    <t>TPPC233</t>
  </si>
  <si>
    <t>Muhammad Basyar Bin Ramli</t>
  </si>
  <si>
    <t>7a151dba-0948-484e-9362-643ecd478794</t>
  </si>
  <si>
    <t>TPPC153</t>
  </si>
  <si>
    <t>Repair</t>
  </si>
  <si>
    <t>fe04d15e-00e7-4f26-a506-ef5bc77406e1</t>
  </si>
  <si>
    <t>TPPC192</t>
  </si>
  <si>
    <t>Mazlind Binti Nordin</t>
  </si>
  <si>
    <t>a9586111-9cb5-41ac-b926-203e4f007125</t>
  </si>
  <si>
    <t>TPPC197</t>
  </si>
  <si>
    <t>R&amp;D Supervisor</t>
  </si>
  <si>
    <t>M365 Basic - 2019</t>
  </si>
  <si>
    <t>f04086ea-004f-4078-aa3a-bfd78b9fcc6d</t>
  </si>
  <si>
    <t>TPPC198</t>
  </si>
  <si>
    <t>929bc3f6-2cba-4964-b910-0cdc50bbe6e8</t>
  </si>
  <si>
    <t>TPPC201</t>
  </si>
  <si>
    <t>b68d9650-3031-404d-b292-264a8139b40a</t>
  </si>
  <si>
    <t>TPPC207</t>
  </si>
  <si>
    <t>3e5a606e-4fc4-49d8-bef8-76f3c5dd07e7</t>
  </si>
  <si>
    <t>TPPC209</t>
  </si>
  <si>
    <t>fd665a93-37b1-465f-83f7-b85137394e46</t>
  </si>
  <si>
    <t>TPPC219</t>
  </si>
  <si>
    <t>LAM Sticker</t>
  </si>
  <si>
    <t>099b3b14-3e15-4ba3-b452-4758883c58bb</t>
  </si>
  <si>
    <t>TPPC221</t>
  </si>
  <si>
    <t>Zahran/Aziz</t>
  </si>
  <si>
    <t>2a39ff04-bdd2-45ba-bab9-52d666f9d35f</t>
  </si>
  <si>
    <t>TPPC222</t>
  </si>
  <si>
    <t>Mohd Faizuddin Bin Mohd Fekry</t>
  </si>
  <si>
    <t>Chemist</t>
  </si>
  <si>
    <t>eab56629-3e41-4cc1-a19a-1a1296b35103</t>
  </si>
  <si>
    <t>TPPC223</t>
  </si>
  <si>
    <t>998e7409-ae94-4533-bea7-ef7dad90a938</t>
  </si>
  <si>
    <t>TPPC224</t>
  </si>
  <si>
    <t>82d4079c-7be1-4206-8a4d-a9e416250f6b</t>
  </si>
  <si>
    <t>TPPC225</t>
  </si>
  <si>
    <t>Nurul Izaan Bt. Abdullah Halid</t>
  </si>
  <si>
    <t>5c15cd94-0923-4741-8525-2e644976535b</t>
  </si>
  <si>
    <t>TPPC226</t>
  </si>
  <si>
    <t>SL Sticker / Rahman</t>
  </si>
  <si>
    <t>f4191b3d-9610-4cf3-bec8-7cc864c66282</t>
  </si>
  <si>
    <t>TPPC229</t>
  </si>
  <si>
    <t>9318e151-68ce-4b8e-839b-ca50e0225c77</t>
  </si>
  <si>
    <t>TPPC230</t>
  </si>
  <si>
    <t>8ecfc6b8-0a70-4bf1-9c84-ffcce772c99b</t>
  </si>
  <si>
    <t>TPPC231</t>
  </si>
  <si>
    <t>Nur Faezah Bt. Abdul Majid</t>
  </si>
  <si>
    <t>Compliance</t>
  </si>
  <si>
    <t>3ee23212-ad7d-4e3f-89b8-7c6f113eadea</t>
  </si>
  <si>
    <t>TPPC234</t>
  </si>
  <si>
    <t>Akmal Afiq Bin Ibrahim</t>
  </si>
  <si>
    <t>98109f65-033b-4a36-a66e-7fc5f70a05c9</t>
  </si>
  <si>
    <t>TPPC236</t>
  </si>
  <si>
    <t>Muhammad Fadhli Bin Hamisan</t>
  </si>
  <si>
    <t>76f454d4-8ade-4f9e-abb3-b947f8d566b8</t>
  </si>
  <si>
    <t>TPPC237</t>
  </si>
  <si>
    <t>Engineer</t>
  </si>
  <si>
    <t>f293d175-31be-47d1-9722-339430376066</t>
  </si>
  <si>
    <t>TPPC238</t>
  </si>
  <si>
    <t>3/4/2026 - 4/6/2026</t>
  </si>
  <si>
    <t>Nge Bee Peng</t>
  </si>
  <si>
    <t>acb6e066-c5cc-4c57-8c38-3021db525e98</t>
  </si>
  <si>
    <t>TPPC245</t>
  </si>
  <si>
    <t>5135f6f7-1419-4efd-bc99-650f758f8db6</t>
  </si>
  <si>
    <t>TPPC246</t>
  </si>
  <si>
    <t>f157d08b-17b5-43bd-a4de-97752253e009</t>
  </si>
  <si>
    <t>TPPC218</t>
  </si>
  <si>
    <t>IT Label</t>
  </si>
  <si>
    <t>Export Officer</t>
  </si>
  <si>
    <t>74a12220-14de-4d84-88ad-fb2ac56f19eb</t>
  </si>
  <si>
    <t>TPLL047</t>
  </si>
  <si>
    <t>Spare</t>
  </si>
  <si>
    <t>IT Manager</t>
  </si>
  <si>
    <t>Dell Latitude 7490</t>
  </si>
  <si>
    <t>72ceb8b4-d743-4ef5-b7d2-a938700c3c69</t>
  </si>
  <si>
    <t>TPLL048</t>
  </si>
  <si>
    <t>90DL752</t>
  </si>
  <si>
    <t>778ce2e9-a90f-40c4-a421-d5c09af4778c</t>
  </si>
  <si>
    <t>TPLL049</t>
  </si>
  <si>
    <t>4DC7UP2</t>
  </si>
  <si>
    <t>1fecd54c-4eef-48e9-8e0f-b03474fddc08</t>
  </si>
  <si>
    <t>7e9773c9-8c12-4056-93a1-ee5c7103ed12</t>
  </si>
  <si>
    <t>816b4719-6b68-417f-af15-9db25fdfde6b</t>
  </si>
  <si>
    <t>12da21ea-2e67-4b2d-a86d-d5a1eb8627ea</t>
  </si>
  <si>
    <t>ba33d505-d72c-4755-9995-2542598aa088</t>
  </si>
  <si>
    <t>fb337e81-2d6c-421b-94bc-1117716f9503</t>
  </si>
  <si>
    <t>0a826741-c520-4890-a9e8-a595ed8c3743</t>
  </si>
  <si>
    <t>22314cb2-e5dd-4bd2-988c-29017c803178</t>
  </si>
  <si>
    <t>4b9f43bf-cf95-4edd-a508-de6ae56f7280</t>
  </si>
  <si>
    <t>cfb4487d-f98c-4cd4-8dd3-008548d6261f</t>
  </si>
  <si>
    <t>09cda919-f552-4a0f-83ba-d692f6cb854d</t>
  </si>
  <si>
    <t>ec54b875-3458-4953-ad08-cd0e95ba0cd6</t>
  </si>
  <si>
    <t>9f8ca6d4-3236-4f02-9bc0-77f7b57009c1</t>
  </si>
  <si>
    <t>822ec3db-35b7-4c9d-a4d6-bee04638a14e</t>
  </si>
  <si>
    <t>1699eeb5-439f-4850-9dd7-ddd057799951</t>
  </si>
  <si>
    <t>c7acbd10-69d0-4973-ab2b-b0a7592fd4b6</t>
  </si>
  <si>
    <t>c4c5bc13-1a72-4941-9a1b-9362dc80ac2e</t>
  </si>
  <si>
    <t>c81b74e7-7bc2-413c-8d90-798e4ec21a15</t>
  </si>
  <si>
    <t>04e58866-085c-4874-9436-b6e5ce52bab9</t>
  </si>
  <si>
    <t>ee2466db-4b6d-46b8-a8fd-7a3b64ba7a43</t>
  </si>
  <si>
    <t>1c32a9ea-641d-4775-af72-ce2d6a880376</t>
  </si>
  <si>
    <t>ab8deed2-36d7-4698-bc10-6bcbe4ebbaaa</t>
  </si>
  <si>
    <t>0ff4bf1a-a0ac-4b10-8d48-d16774cba0af</t>
  </si>
  <si>
    <t>8f12b369-afcc-4c3e-a578-45e6b1dc2fc8</t>
  </si>
  <si>
    <t>4476fe09-7634-494d-99df-01884e1fe52a</t>
  </si>
  <si>
    <t>186e2130-6160-47c0-9e9b-5341b768828f</t>
  </si>
  <si>
    <t>7c1307ab-705e-4cce-bf52-00325347a003</t>
  </si>
  <si>
    <t>fcecaf8b-3c0b-4705-81ab-a16f4c10d701</t>
  </si>
  <si>
    <t>be6cf845-6b47-4200-b355-6b6a904213a0</t>
  </si>
  <si>
    <t>b11221d9-8692-4aef-95f6-3e42693719c3</t>
  </si>
  <si>
    <t>b8bee52e-332a-42de-b45b-001aa187e157</t>
  </si>
  <si>
    <t>557b0ab4-29cf-4bee-ba18-c9e7f609a20b</t>
  </si>
  <si>
    <t>a92ee918-4e76-46be-91af-2ecd86031b14</t>
  </si>
  <si>
    <t>8f042424-0cf0-4d2c-b26a-b123579aa679</t>
  </si>
  <si>
    <t>e08e04f9-0a35-4228-874f-556d623a4a1d</t>
  </si>
  <si>
    <t>63c34e07-e3a5-4205-ab77-c08a81a2740e</t>
  </si>
  <si>
    <t>cf6b930d-bbfa-4412-b528-fcfc795932e9</t>
  </si>
  <si>
    <t>9a1ef39e-c5ce-4472-94cd-c833b5827403</t>
  </si>
  <si>
    <t>53db1bc9-8016-4d6b-9ca5-9dbbdba79961</t>
  </si>
  <si>
    <t>7389d018-bcc4-4574-9c7b-739e201bccf1</t>
  </si>
  <si>
    <t>4e986aed-2a15-4fff-aaca-f926a38fce58</t>
  </si>
  <si>
    <t>8bb6fb4b-57eb-4159-8cfa-2f8ff8167abe</t>
  </si>
  <si>
    <t>7ae7009f-b69a-4e0c-b6b8-1fda9f9cde78</t>
  </si>
  <si>
    <t>85e8b10d-270e-4d3b-b150-7682c99af09c</t>
  </si>
  <si>
    <t>d8d6c571-9af1-439d-bb3f-68b7f3b64dd7</t>
  </si>
  <si>
    <t>be5cf133-24db-4c22-b7c1-125cefb70329</t>
  </si>
  <si>
    <t>c92d80d7-bc3a-4a75-b205-127d9a82d1d6</t>
  </si>
  <si>
    <t>bc018bee-8d6d-4563-ac08-7795017ff83c</t>
  </si>
  <si>
    <t>8ca6fdc2-c27b-4937-9043-9c904493d137</t>
  </si>
  <si>
    <t>26349cfd-ea0e-459f-8f30-168a5386cba9</t>
  </si>
  <si>
    <t>d90f1568-7fe6-4eaa-be6e-753523ab4618</t>
  </si>
  <si>
    <t>5e6feb5d-79c2-4981-aff6-8deacb6830b1</t>
  </si>
  <si>
    <t>cfc29a23-5060-452f-9027-4b5437680be9</t>
  </si>
  <si>
    <t>066e1d78-72c0-4e39-9fbe-5b34251f80ed</t>
  </si>
  <si>
    <t>27c15c55-139b-4719-bc70-b6562bed473e</t>
  </si>
  <si>
    <t>ab2723cb-43c6-45cf-bc93-45ef40280b5e</t>
  </si>
  <si>
    <t>efd05bef-cf30-46ac-93c6-0fff373361b6</t>
  </si>
  <si>
    <t>f5ae8a7f-0785-4e41-8c2f-40dc8e3a3f13</t>
  </si>
  <si>
    <t>b42b7462-edcf-4980-8ed2-2917acd699f4</t>
  </si>
  <si>
    <t>0cae5ab3-bfdb-4f48-a8ff-20cf8d32689b</t>
  </si>
  <si>
    <t>20d5f6af-7e4f-492e-aceb-108c46f708fc</t>
  </si>
  <si>
    <t>db2d8494-eb29-4c9f-8c8c-f7cce2208a99</t>
  </si>
  <si>
    <t>3816cb7c-7faf-478e-b326-58754e5435fa</t>
  </si>
  <si>
    <t>7bd3e526-6039-4aaa-9c0f-7b1d86b9775f</t>
  </si>
  <si>
    <t>92c922a5-37f4-4358-81f3-967ab65d825f</t>
  </si>
  <si>
    <t>c9c6bc65-a32a-4edc-b3a3-9df80eae0296</t>
  </si>
  <si>
    <t>b9978df5-1cee-4ea9-a50d-1e4a8b7538d6</t>
  </si>
  <si>
    <t>ce22c142-4da6-49d9-96f6-91b6b2a859ca</t>
  </si>
  <si>
    <t>3a39b55b-d8fc-4e0e-818c-b0802abfbc66</t>
  </si>
  <si>
    <t>8cbf0088-d14b-4456-a839-70474fa004d2</t>
  </si>
  <si>
    <t>7fb8821e-36ea-4dd4-bd0e-19e2cbc89440</t>
  </si>
  <si>
    <t>f245e9a7-c2b5-44ec-aa82-7b9aeaea4e8c</t>
  </si>
  <si>
    <t>918268fe-bf0a-4734-8234-4dd1cb73832c</t>
  </si>
  <si>
    <t>47b97df6-4ca6-4869-91b7-e53cbc71c518</t>
  </si>
  <si>
    <t>a5b8daba-1a21-45af-8852-55cebeeb98ab</t>
  </si>
  <si>
    <t>1be7756c-c704-40de-854e-6dc89c1b4597</t>
  </si>
  <si>
    <t>1a935bcd-0b60-46ce-877a-10964e5c1ba0</t>
  </si>
  <si>
    <t>ae1c667e-a6da-4d10-864a-53f90a2c4f2a</t>
  </si>
  <si>
    <t>1a05a0cf-a5c0-4882-8111-45dcdef37049</t>
  </si>
  <si>
    <t>e52e6724-18de-4db8-b005-32164da750ef</t>
  </si>
  <si>
    <t>f491fe2b-9708-460f-b3a5-6a24d7524b09</t>
  </si>
  <si>
    <t>55c0a728-f406-4ed8-bfec-c83f21e03c24</t>
  </si>
  <si>
    <t>4d2f3c03-46c6-4f80-8206-192eef6f11ce</t>
  </si>
  <si>
    <t>b9d549d8-9f34-449f-9acf-b419b6d113bb</t>
  </si>
  <si>
    <t>fe5b750c-97e0-4cf0-abac-02bf11f93792</t>
  </si>
  <si>
    <t>426276ee-c696-4907-902f-130db2aa6642</t>
  </si>
  <si>
    <t>8f2752a9-dc93-4f98-ab9a-39ae07319338</t>
  </si>
  <si>
    <t>0a439229-4a97-4b7e-8330-c535709537f9</t>
  </si>
  <si>
    <t>4afeef60-8ab6-4281-9d98-5d33b802517a</t>
  </si>
  <si>
    <t>4ea60c1e-5430-4cf5-b0c8-039fd9f2c9fb</t>
  </si>
  <si>
    <t>0fdb15a9-9c77-4cf2-867c-7c9bd9ce508f</t>
  </si>
  <si>
    <t>83218b82-648b-4892-941c-6fec10342790</t>
  </si>
  <si>
    <t>b8d97d48-9c78-4593-8915-332351836ba0</t>
  </si>
  <si>
    <t>8c69f0ea-0e6a-48e0-b8a8-6796e6a0e459</t>
  </si>
  <si>
    <t>cd874569-5bfa-45fa-81cb-b3f1ce95698e</t>
  </si>
  <si>
    <t>12be2884-74bd-4cba-abc0-46146409533d</t>
  </si>
  <si>
    <t>70f0e226-d80f-4bf1-96fe-16b8accf6339</t>
  </si>
  <si>
    <t>c2d666ca-db9d-486c-95cf-9994ce5c2cb6</t>
  </si>
  <si>
    <t>0329cc68-8633-4007-9e0a-4ca22853c7ef</t>
  </si>
  <si>
    <t>a0c6c25e-14dc-431a-ad21-da486b7fa8ff</t>
  </si>
  <si>
    <t>3ed30938-777f-4f19-bde8-b4f53b970980</t>
  </si>
  <si>
    <t>6be95392-2b52-436b-86bb-89b123f3af69</t>
  </si>
  <si>
    <t>4721a9a7-ab9a-47c8-9183-58981031faf9</t>
  </si>
  <si>
    <t>1d2996bc-1a09-45d5-84e2-689fdfd835b3</t>
  </si>
  <si>
    <t>abc</t>
  </si>
  <si>
    <t>tp</t>
  </si>
  <si>
    <t>test</t>
  </si>
  <si>
    <t>BCS</t>
  </si>
  <si>
    <t>80df46c7-278b-4751-a366-1e873022c3c1</t>
  </si>
  <si>
    <t>TEST</t>
  </si>
  <si>
    <t>T</t>
  </si>
  <si>
    <t>TEST123</t>
  </si>
  <si>
    <t>t3123</t>
  </si>
  <si>
    <t>a23d2d86-95f8-4285-94bd-eb430198a8a0</t>
  </si>
  <si>
    <t>TESTING</t>
  </si>
  <si>
    <t>34aa420d-6515-49f0-a146-768dd9fa8f13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</si>
</sst>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\-mmm\-yy;@"/>
    <numFmt numFmtId="165" formatCode="[$-14409]d/m/yyyy;@"/>
    <numFmt numFmtId="166" formatCode="d/mm/yyyy"/>
  </numFmts>
  <fonts count="5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0"/>
      <color rgb="FF000000"/>
      <name val="Helvetica Neue"/>
      <family val="2"/>
    </font>
    <font>
      <strike/>
      <sz val="1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rgb="FF444444"/>
      <name val="Aptos Narrow"/>
      <family val="2"/>
    </font>
    <font>
      <sz val="11"/>
      <color rgb="FF242424"/>
      <name val="Aptos Narrow"/>
      <family val="2"/>
    </font>
    <font>
      <sz val="11"/>
      <color theme="1"/>
      <name val="-Apple-System"/>
      <charset val="1"/>
    </font>
    <font>
      <sz val="9"/>
      <color rgb="FF333333"/>
      <name val="Segoe UI"/>
      <family val="2"/>
    </font>
    <font>
      <sz val="10"/>
      <color theme="1"/>
      <name val="Helvetica Neue"/>
      <family val="2"/>
    </font>
    <font>
      <b/>
      <sz val="14"/>
      <color theme="1"/>
      <name val="Calibri"/>
      <family val="2"/>
      <scheme val="minor"/>
    </font>
    <font>
      <sz val="11"/>
      <color rgb="FF333333"/>
      <name val="Segoe UI"/>
      <family val="2"/>
    </font>
    <font>
      <sz val="11"/>
      <color rgb="FFFF0000"/>
      <name val="-Apple-System"/>
      <charset val="1"/>
    </font>
    <font>
      <sz val="11"/>
      <color rgb="FFFF0000"/>
      <name val="Segoe UI"/>
      <family val="2"/>
    </font>
    <font>
      <sz val="9"/>
      <color rgb="FFFF0000"/>
      <name val="Segoe UI"/>
      <family val="2"/>
    </font>
    <font>
      <sz val="11"/>
      <color rgb="FFFF0000"/>
      <name val="Aptos Narrow"/>
      <family val="2"/>
    </font>
    <font>
      <sz val="11"/>
      <color rgb="FFFF0000"/>
      <name val="Calibri"/>
      <family val="2"/>
      <charset val="1"/>
    </font>
    <font>
      <sz val="11"/>
      <color rgb="FF000000"/>
      <name val="-Apple-System"/>
      <charset val="1"/>
    </font>
    <font>
      <sz val="10"/>
      <color rgb="FFFF0000"/>
      <name val="Helvetica Neue"/>
      <family val="2"/>
    </font>
    <font>
      <sz val="11"/>
      <color rgb="FFFF0000"/>
      <name val="Calibri"/>
      <family val="2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sz val="11"/>
      <color theme="1"/>
      <name val="Segoe UI"/>
      <family val="2"/>
    </font>
    <font>
      <sz val="9"/>
      <color theme="1"/>
      <name val="Segoe UI"/>
      <family val="2"/>
    </font>
    <font>
      <sz val="11"/>
      <color theme="1"/>
      <name val="Aptos Narrow"/>
      <family val="2"/>
    </font>
    <font>
      <sz val="11"/>
      <name val="Calibri"/>
      <family val="2"/>
      <scheme val="minor"/>
    </font>
    <font>
      <sz val="10"/>
      <color rgb="FFFF0000"/>
      <name val="Helvetica Neue"/>
      <charset val="1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3B5B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BAEAB"/>
        <bgColor indexed="64"/>
      </patternFill>
    </fill>
    <fill>
      <patternFill patternType="solid">
        <fgColor rgb="FFFFC7CE"/>
      </patternFill>
    </fill>
    <fill>
      <patternFill patternType="solid">
        <fgColor rgb="FFFF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3DFE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1"/>
      </bottom>
      <diagonal/>
    </border>
  </borders>
  <cellStyleXfs count="5">
    <xf numFmtId="0" fontId="0" fillId="0" borderId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18" fillId="12" borderId="0" applyNumberFormat="0" applyBorder="0" applyAlignment="0" applyProtection="0"/>
    <xf numFmtId="0" fontId="8" fillId="5" borderId="0" applyNumberFormat="0" applyBorder="0" applyAlignment="0" applyProtection="0"/>
  </cellStyleXfs>
  <cellXfs count="3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17" fontId="1" fillId="2" borderId="0" xfId="0" applyNumberFormat="1" applyFont="1" applyFill="1" applyAlignment="1">
      <alignment horizontal="left" vertical="center"/>
    </xf>
    <xf numFmtId="1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164" fontId="1" fillId="2" borderId="0" xfId="0" applyNumberFormat="1" applyFont="1" applyFill="1" applyAlignment="1">
      <alignment horizontal="left"/>
    </xf>
    <xf numFmtId="17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left" vertical="center"/>
    </xf>
    <xf numFmtId="22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17" fontId="1" fillId="2" borderId="0" xfId="0" applyNumberFormat="1" applyFont="1" applyFill="1" applyAlignment="1">
      <alignment vertical="top"/>
    </xf>
    <xf numFmtId="11" fontId="1" fillId="2" borderId="0" xfId="0" quotePrefix="1" applyNumberFormat="1" applyFont="1" applyFill="1" applyAlignment="1">
      <alignment horizontal="left"/>
    </xf>
    <xf numFmtId="17" fontId="1" fillId="2" borderId="0" xfId="0" quotePrefix="1" applyNumberFormat="1" applyFont="1" applyFill="1" applyAlignment="1">
      <alignment horizontal="left" vertical="center"/>
    </xf>
    <xf numFmtId="17" fontId="1" fillId="2" borderId="0" xfId="0" quotePrefix="1" applyNumberFormat="1" applyFont="1" applyFill="1" applyAlignment="1">
      <alignment horizontal="center" vertical="center"/>
    </xf>
    <xf numFmtId="0" fontId="1" fillId="2" borderId="0" xfId="0" quotePrefix="1" applyFont="1" applyFill="1"/>
    <xf numFmtId="0" fontId="1" fillId="2" borderId="0" xfId="0" quotePrefix="1" applyFont="1" applyFill="1" applyAlignment="1">
      <alignment horizontal="left"/>
    </xf>
    <xf numFmtId="11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16" fontId="1" fillId="2" borderId="0" xfId="0" applyNumberFormat="1" applyFont="1" applyFill="1" applyAlignment="1">
      <alignment horizontal="center" vertical="center"/>
    </xf>
    <xf numFmtId="16" fontId="1" fillId="2" borderId="0" xfId="0" quotePrefix="1" applyNumberFormat="1" applyFont="1" applyFill="1" applyAlignment="1">
      <alignment horizontal="left" vertical="center"/>
    </xf>
    <xf numFmtId="16" fontId="1" fillId="2" borderId="0" xfId="0" quotePrefix="1" applyNumberFormat="1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left" vertical="center"/>
    </xf>
    <xf numFmtId="16" fontId="1" fillId="2" borderId="0" xfId="0" applyNumberFormat="1" applyFont="1" applyFill="1" applyAlignment="1">
      <alignment horizontal="left"/>
    </xf>
    <xf numFmtId="0" fontId="5" fillId="2" borderId="0" xfId="0" applyFont="1" applyFill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7" fillId="4" borderId="1" xfId="1" applyBorder="1"/>
    <xf numFmtId="0" fontId="1" fillId="6" borderId="1" xfId="0" applyFont="1" applyFill="1" applyBorder="1"/>
    <xf numFmtId="0" fontId="8" fillId="5" borderId="1" xfId="2" applyBorder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11" fillId="0" borderId="1" xfId="0" applyFont="1" applyBorder="1" applyAlignment="1">
      <alignment vertical="center"/>
    </xf>
    <xf numFmtId="17" fontId="11" fillId="0" borderId="1" xfId="0" applyNumberFormat="1" applyFont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" fillId="2" borderId="2" xfId="0" applyFont="1" applyFill="1" applyBorder="1"/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/>
    </xf>
    <xf numFmtId="0" fontId="6" fillId="10" borderId="0" xfId="0" applyFont="1" applyFill="1" applyAlignment="1">
      <alignment horizontal="center"/>
    </xf>
    <xf numFmtId="164" fontId="6" fillId="10" borderId="0" xfId="0" applyNumberFormat="1" applyFont="1" applyFill="1" applyAlignment="1">
      <alignment horizontal="left"/>
    </xf>
    <xf numFmtId="0" fontId="6" fillId="10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center"/>
    </xf>
    <xf numFmtId="17" fontId="12" fillId="2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7" fontId="14" fillId="0" borderId="0" xfId="0" applyNumberFormat="1" applyFont="1"/>
    <xf numFmtId="14" fontId="14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left"/>
    </xf>
    <xf numFmtId="0" fontId="17" fillId="0" borderId="0" xfId="0" applyFont="1"/>
    <xf numFmtId="0" fontId="1" fillId="0" borderId="8" xfId="0" applyFont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6" fillId="11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wrapText="1"/>
    </xf>
    <xf numFmtId="17" fontId="1" fillId="3" borderId="0" xfId="0" applyNumberFormat="1" applyFont="1" applyFill="1" applyAlignment="1">
      <alignment horizontal="left" vertical="center"/>
    </xf>
    <xf numFmtId="17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left"/>
    </xf>
    <xf numFmtId="17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 wrapText="1"/>
    </xf>
    <xf numFmtId="0" fontId="18" fillId="12" borderId="0" xfId="3" applyAlignment="1">
      <alignment horizontal="left" vertical="center"/>
    </xf>
    <xf numFmtId="17" fontId="18" fillId="12" borderId="0" xfId="3" applyNumberFormat="1" applyAlignment="1">
      <alignment horizontal="left" vertical="center"/>
    </xf>
    <xf numFmtId="17" fontId="18" fillId="12" borderId="0" xfId="3" applyNumberFormat="1" applyAlignment="1">
      <alignment horizontal="center" vertical="center"/>
    </xf>
    <xf numFmtId="0" fontId="18" fillId="12" borderId="0" xfId="3" applyAlignment="1">
      <alignment horizontal="left"/>
    </xf>
    <xf numFmtId="0" fontId="18" fillId="12" borderId="0" xfId="3"/>
    <xf numFmtId="0" fontId="18" fillId="12" borderId="0" xfId="3" applyAlignment="1">
      <alignment horizontal="center"/>
    </xf>
    <xf numFmtId="17" fontId="18" fillId="12" borderId="0" xfId="3" applyNumberFormat="1" applyAlignment="1">
      <alignment horizontal="left"/>
    </xf>
    <xf numFmtId="0" fontId="18" fillId="12" borderId="0" xfId="3" applyAlignment="1">
      <alignment horizontal="left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horizontal="left" vertical="top"/>
    </xf>
    <xf numFmtId="17" fontId="1" fillId="3" borderId="0" xfId="0" applyNumberFormat="1" applyFont="1" applyFill="1" applyAlignment="1">
      <alignment vertical="top"/>
    </xf>
    <xf numFmtId="0" fontId="18" fillId="12" borderId="0" xfId="3" quotePrefix="1"/>
    <xf numFmtId="0" fontId="18" fillId="12" borderId="0" xfId="3" applyAlignment="1">
      <alignment horizontal="center" vertical="center"/>
    </xf>
    <xf numFmtId="164" fontId="18" fillId="12" borderId="0" xfId="3" applyNumberFormat="1" applyAlignment="1">
      <alignment horizontal="left"/>
    </xf>
    <xf numFmtId="0" fontId="18" fillId="12" borderId="0" xfId="3" quotePrefix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0" fillId="0" borderId="2" xfId="0" applyBorder="1"/>
    <xf numFmtId="0" fontId="18" fillId="12" borderId="1" xfId="3" applyBorder="1"/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1" fillId="0" borderId="0" xfId="0" applyFont="1"/>
    <xf numFmtId="0" fontId="22" fillId="0" borderId="0" xfId="0" applyFont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pivotButton="1" applyBorder="1"/>
    <xf numFmtId="0" fontId="0" fillId="0" borderId="18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13" fillId="0" borderId="1" xfId="2" applyFont="1" applyFill="1" applyBorder="1" applyAlignment="1"/>
    <xf numFmtId="0" fontId="1" fillId="0" borderId="0" xfId="0" quotePrefix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quotePrefix="1" applyFont="1" applyAlignment="1">
      <alignment horizontal="left" vertical="center"/>
    </xf>
    <xf numFmtId="0" fontId="0" fillId="14" borderId="1" xfId="1" applyFont="1" applyFill="1" applyBorder="1" applyAlignment="1"/>
    <xf numFmtId="0" fontId="0" fillId="15" borderId="1" xfId="0" applyFill="1" applyBorder="1"/>
    <xf numFmtId="0" fontId="0" fillId="13" borderId="1" xfId="0" applyFill="1" applyBorder="1"/>
    <xf numFmtId="0" fontId="13" fillId="10" borderId="20" xfId="0" applyFont="1" applyFill="1" applyBorder="1" applyAlignment="1">
      <alignment horizontal="left" vertical="center"/>
    </xf>
    <xf numFmtId="164" fontId="13" fillId="10" borderId="20" xfId="0" applyNumberFormat="1" applyFont="1" applyFill="1" applyBorder="1" applyAlignment="1">
      <alignment horizontal="left" vertical="center"/>
    </xf>
    <xf numFmtId="0" fontId="13" fillId="10" borderId="20" xfId="0" applyFont="1" applyFill="1" applyBorder="1" applyAlignment="1">
      <alignment horizontal="left" vertical="center" wrapText="1"/>
    </xf>
    <xf numFmtId="0" fontId="0" fillId="16" borderId="0" xfId="0" applyFill="1"/>
    <xf numFmtId="17" fontId="1" fillId="0" borderId="21" xfId="0" applyNumberFormat="1" applyFont="1" applyBorder="1" applyAlignment="1">
      <alignment horizontal="left" vertical="center"/>
    </xf>
    <xf numFmtId="0" fontId="23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0" borderId="3" xfId="0" applyBorder="1"/>
    <xf numFmtId="0" fontId="0" fillId="0" borderId="16" xfId="0" applyBorder="1"/>
    <xf numFmtId="0" fontId="0" fillId="0" borderId="17" xfId="0" applyBorder="1"/>
    <xf numFmtId="0" fontId="0" fillId="0" borderId="4" xfId="0" applyBorder="1"/>
    <xf numFmtId="0" fontId="27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13" fillId="10" borderId="20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3" fillId="10" borderId="22" xfId="0" applyFont="1" applyFill="1" applyBorder="1" applyAlignment="1">
      <alignment horizontal="center" vertical="center"/>
    </xf>
    <xf numFmtId="0" fontId="0" fillId="18" borderId="1" xfId="1" applyFont="1" applyFill="1" applyBorder="1" applyAlignment="1"/>
    <xf numFmtId="0" fontId="0" fillId="19" borderId="1" xfId="0" applyFill="1" applyBorder="1"/>
    <xf numFmtId="0" fontId="3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4" borderId="0" xfId="1" applyFont="1" applyFill="1" applyBorder="1" applyAlignment="1"/>
    <xf numFmtId="0" fontId="0" fillId="18" borderId="0" xfId="1" applyFont="1" applyFill="1" applyBorder="1" applyAlignment="1"/>
    <xf numFmtId="0" fontId="0" fillId="19" borderId="0" xfId="0" applyFill="1"/>
    <xf numFmtId="0" fontId="0" fillId="15" borderId="0" xfId="0" applyFill="1"/>
    <xf numFmtId="0" fontId="0" fillId="13" borderId="0" xfId="0" applyFill="1"/>
    <xf numFmtId="0" fontId="13" fillId="0" borderId="0" xfId="2" applyFont="1" applyFill="1" applyBorder="1" applyAlignment="1"/>
    <xf numFmtId="0" fontId="13" fillId="10" borderId="19" xfId="0" applyFont="1" applyFill="1" applyBorder="1" applyAlignment="1">
      <alignment vertical="center"/>
    </xf>
    <xf numFmtId="0" fontId="1" fillId="17" borderId="0" xfId="0" applyFont="1" applyFill="1"/>
    <xf numFmtId="0" fontId="1" fillId="14" borderId="7" xfId="1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19" borderId="7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3" fillId="0" borderId="7" xfId="2" applyFont="1" applyFill="1" applyBorder="1" applyAlignment="1">
      <alignment horizont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vertical="center"/>
    </xf>
    <xf numFmtId="0" fontId="1" fillId="14" borderId="0" xfId="1" applyFont="1" applyFill="1" applyBorder="1" applyAlignment="1"/>
    <xf numFmtId="0" fontId="1" fillId="6" borderId="0" xfId="0" applyFont="1" applyFill="1"/>
    <xf numFmtId="0" fontId="1" fillId="15" borderId="0" xfId="0" applyFont="1" applyFill="1"/>
    <xf numFmtId="0" fontId="1" fillId="13" borderId="0" xfId="0" applyFont="1" applyFill="1"/>
    <xf numFmtId="0" fontId="13" fillId="10" borderId="20" xfId="0" applyFont="1" applyFill="1" applyBorder="1" applyAlignment="1">
      <alignment vertical="center"/>
    </xf>
    <xf numFmtId="0" fontId="36" fillId="10" borderId="23" xfId="0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13" fillId="10" borderId="22" xfId="0" applyFont="1" applyFill="1" applyBorder="1" applyAlignment="1">
      <alignment horizontal="left" vertical="center"/>
    </xf>
    <xf numFmtId="165" fontId="0" fillId="0" borderId="0" xfId="0" applyNumberFormat="1"/>
    <xf numFmtId="11" fontId="0" fillId="0" borderId="0" xfId="0" applyNumberFormat="1"/>
    <xf numFmtId="0" fontId="25" fillId="0" borderId="0" xfId="0" applyFont="1" applyAlignment="1">
      <alignment vertical="center" wrapText="1"/>
    </xf>
    <xf numFmtId="164" fontId="12" fillId="0" borderId="0" xfId="0" applyNumberFormat="1" applyFont="1" applyAlignment="1">
      <alignment horizontal="left" vertical="center"/>
    </xf>
    <xf numFmtId="0" fontId="12" fillId="0" borderId="0" xfId="0" applyFont="1"/>
    <xf numFmtId="17" fontId="26" fillId="0" borderId="21" xfId="0" applyNumberFormat="1" applyFont="1" applyBorder="1" applyAlignment="1">
      <alignment horizontal="left" vertical="center"/>
    </xf>
    <xf numFmtId="0" fontId="26" fillId="0" borderId="0" xfId="0" applyFont="1"/>
    <xf numFmtId="0" fontId="28" fillId="0" borderId="0" xfId="0" applyFont="1"/>
    <xf numFmtId="0" fontId="24" fillId="0" borderId="0" xfId="0" applyFont="1" applyAlignment="1">
      <alignment vertical="center"/>
    </xf>
    <xf numFmtId="0" fontId="35" fillId="0" borderId="0" xfId="0" applyFont="1"/>
    <xf numFmtId="0" fontId="24" fillId="0" borderId="0" xfId="0" applyFont="1"/>
    <xf numFmtId="0" fontId="31" fillId="0" borderId="0" xfId="0" applyFont="1"/>
    <xf numFmtId="0" fontId="32" fillId="0" borderId="0" xfId="0" applyFont="1"/>
    <xf numFmtId="0" fontId="25" fillId="0" borderId="0" xfId="0" applyFont="1"/>
    <xf numFmtId="0" fontId="33" fillId="0" borderId="0" xfId="0" applyFont="1"/>
    <xf numFmtId="0" fontId="37" fillId="0" borderId="0" xfId="0" applyFont="1"/>
    <xf numFmtId="0" fontId="34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43" fillId="0" borderId="0" xfId="0" applyFont="1"/>
    <xf numFmtId="0" fontId="1" fillId="20" borderId="0" xfId="0" applyFont="1" applyFill="1"/>
    <xf numFmtId="0" fontId="12" fillId="21" borderId="0" xfId="0" applyFont="1" applyFill="1" applyAlignment="1">
      <alignment vertical="center"/>
    </xf>
    <xf numFmtId="0" fontId="12" fillId="21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center" vertical="center"/>
    </xf>
    <xf numFmtId="164" fontId="12" fillId="21" borderId="0" xfId="0" applyNumberFormat="1" applyFont="1" applyFill="1" applyAlignment="1">
      <alignment horizontal="left" vertical="center"/>
    </xf>
    <xf numFmtId="17" fontId="12" fillId="21" borderId="0" xfId="0" applyNumberFormat="1" applyFont="1" applyFill="1" applyAlignment="1">
      <alignment horizontal="left" vertical="center"/>
    </xf>
    <xf numFmtId="0" fontId="12" fillId="21" borderId="0" xfId="0" applyFont="1" applyFill="1"/>
    <xf numFmtId="0" fontId="12" fillId="21" borderId="0" xfId="0" applyFont="1" applyFill="1" applyAlignment="1">
      <alignment horizontal="left" vertical="center" wrapText="1"/>
    </xf>
    <xf numFmtId="0" fontId="42" fillId="21" borderId="0" xfId="0" applyFont="1" applyFill="1"/>
    <xf numFmtId="0" fontId="41" fillId="21" borderId="0" xfId="0" applyFont="1" applyFill="1"/>
    <xf numFmtId="0" fontId="45" fillId="21" borderId="0" xfId="0" applyFont="1" applyFill="1"/>
    <xf numFmtId="0" fontId="44" fillId="21" borderId="0" xfId="0" applyFont="1" applyFill="1"/>
    <xf numFmtId="0" fontId="46" fillId="0" borderId="0" xfId="0" applyFont="1"/>
    <xf numFmtId="0" fontId="47" fillId="0" borderId="0" xfId="0" applyFont="1"/>
    <xf numFmtId="0" fontId="12" fillId="22" borderId="0" xfId="0" applyFont="1" applyFill="1" applyAlignment="1">
      <alignment vertical="center"/>
    </xf>
    <xf numFmtId="14" fontId="0" fillId="0" borderId="0" xfId="0" applyNumberForma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26" fillId="20" borderId="0" xfId="0" applyFont="1" applyFill="1"/>
    <xf numFmtId="0" fontId="26" fillId="3" borderId="0" xfId="0" applyFont="1" applyFill="1" applyAlignment="1">
      <alignment horizontal="center" vertical="center"/>
    </xf>
    <xf numFmtId="0" fontId="26" fillId="3" borderId="0" xfId="0" applyFont="1" applyFill="1"/>
    <xf numFmtId="0" fontId="25" fillId="3" borderId="0" xfId="0" applyFont="1" applyFill="1" applyAlignment="1">
      <alignment vertical="center"/>
    </xf>
    <xf numFmtId="0" fontId="51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51" fillId="3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164" fontId="51" fillId="3" borderId="0" xfId="0" applyNumberFormat="1" applyFont="1" applyFill="1" applyAlignment="1">
      <alignment horizontal="left" vertical="center"/>
    </xf>
    <xf numFmtId="17" fontId="51" fillId="3" borderId="0" xfId="0" applyNumberFormat="1" applyFont="1" applyFill="1" applyAlignment="1">
      <alignment horizontal="left" vertical="center"/>
    </xf>
    <xf numFmtId="0" fontId="51" fillId="3" borderId="0" xfId="0" applyFont="1" applyFill="1" applyAlignment="1">
      <alignment horizontal="left" vertical="center" wrapText="1"/>
    </xf>
    <xf numFmtId="0" fontId="51" fillId="3" borderId="0" xfId="0" applyFont="1" applyFill="1" applyAlignment="1">
      <alignment horizontal="center" vertical="center"/>
    </xf>
    <xf numFmtId="0" fontId="52" fillId="21" borderId="0" xfId="0" applyFont="1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left" vertical="center"/>
    </xf>
    <xf numFmtId="16" fontId="0" fillId="3" borderId="0" xfId="0" applyNumberFormat="1" applyFill="1" applyAlignment="1">
      <alignment horizontal="left" vertical="center"/>
    </xf>
    <xf numFmtId="164" fontId="1" fillId="3" borderId="0" xfId="0" applyNumberFormat="1" applyFont="1" applyFill="1" applyAlignment="1">
      <alignment horizontal="left" vertical="center"/>
    </xf>
    <xf numFmtId="165" fontId="26" fillId="0" borderId="0" xfId="0" applyNumberFormat="1" applyFont="1"/>
    <xf numFmtId="14" fontId="26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7" fontId="12" fillId="0" borderId="0" xfId="0" applyNumberFormat="1" applyFont="1" applyAlignment="1">
      <alignment horizontal="left" vertical="center"/>
    </xf>
    <xf numFmtId="0" fontId="12" fillId="20" borderId="0" xfId="0" applyFont="1" applyFill="1"/>
    <xf numFmtId="0" fontId="12" fillId="0" borderId="0" xfId="0" applyFont="1" applyAlignment="1">
      <alignment horizontal="left" vertical="center" wrapText="1"/>
    </xf>
    <xf numFmtId="0" fontId="41" fillId="0" borderId="0" xfId="0" applyFont="1"/>
    <xf numFmtId="0" fontId="12" fillId="3" borderId="0" xfId="0" applyFont="1" applyFill="1" applyAlignment="1">
      <alignment horizontal="center" vertical="center"/>
    </xf>
    <xf numFmtId="0" fontId="12" fillId="3" borderId="0" xfId="0" applyFont="1" applyFill="1"/>
    <xf numFmtId="17" fontId="12" fillId="0" borderId="21" xfId="0" applyNumberFormat="1" applyFont="1" applyBorder="1" applyAlignment="1">
      <alignment horizontal="left"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center"/>
    </xf>
    <xf numFmtId="164" fontId="51" fillId="0" borderId="0" xfId="0" applyNumberFormat="1" applyFont="1" applyAlignment="1">
      <alignment horizontal="left" vertical="center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horizontal="center" vertical="center"/>
    </xf>
    <xf numFmtId="17" fontId="0" fillId="0" borderId="0" xfId="0" applyNumberFormat="1" applyAlignment="1">
      <alignment horizontal="left" vertical="center"/>
    </xf>
    <xf numFmtId="17" fontId="0" fillId="0" borderId="21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3" fillId="0" borderId="0" xfId="0" applyFont="1" applyAlignment="1">
      <alignment vertical="center"/>
    </xf>
    <xf numFmtId="0" fontId="54" fillId="0" borderId="0" xfId="0" applyFont="1"/>
    <xf numFmtId="0" fontId="55" fillId="0" borderId="0" xfId="0" applyFont="1"/>
    <xf numFmtId="166" fontId="0" fillId="0" borderId="0" xfId="0" applyNumberFormat="1"/>
    <xf numFmtId="17" fontId="51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26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6" fillId="9" borderId="1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0" borderId="0" xfId="0" applyAlignment="1">
      <alignment horizontal="left"/>
    </xf>
  </cellXfs>
  <cellStyles count="5">
    <cellStyle name="Bad" xfId="3" builtinId="27"/>
    <cellStyle name="Good" xfId="1" builtinId="26"/>
    <cellStyle name="Neutral" xfId="2" builtinId="28"/>
    <cellStyle name="Neutral 2" xfId="4" xr:uid="{00000000-0005-0000-0000-000003000000}"/>
    <cellStyle name="Normal" xfId="0" builtinId="0"/>
  </cellStyles>
  <dxfs count="62">
    <dxf>
      <fill>
        <patternFill>
          <bgColor rgb="FFFFCCCC"/>
        </patternFill>
      </fill>
    </dxf>
    <dxf>
      <fill>
        <patternFill>
          <bgColor rgb="FFE2EFDA"/>
        </patternFill>
      </fill>
    </dxf>
    <dxf>
      <fill>
        <patternFill>
          <bgColor theme="4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E2EFDA"/>
        </patternFill>
      </fill>
    </dxf>
    <dxf>
      <fill>
        <patternFill>
          <bgColor theme="4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fill>
        <patternFill>
          <bgColor rgb="FFFFCCCC"/>
        </patternFill>
      </fill>
    </dxf>
    <dxf>
      <fill>
        <patternFill>
          <bgColor rgb="FFE2EFDA"/>
        </patternFill>
      </fill>
    </dxf>
    <dxf>
      <fill>
        <patternFill>
          <bgColor theme="4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alignment horizontal="right"/>
    </dxf>
    <dxf>
      <numFmt numFmtId="166" formatCode="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[$-409]d\-mmm\-yy;@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[$-409]d\-mmm\-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7" tint="0.3999755851924192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3" defaultTableStyle="TableStyleMedium2" defaultPivotStyle="PivotStyleLight16">
    <tableStyle name="MySqlDefault" pivot="0" table="0" count="2" xr9:uid="{00000000-0011-0000-FFFF-FFFF00000000}">
      <tableStyleElement type="wholeTable" dxfId="61"/>
      <tableStyleElement type="headerRow" dxfId="60"/>
    </tableStyle>
    <tableStyle name="Table Style 1" pivot="0" count="1" xr9:uid="{00000000-0011-0000-FFFF-FFFF01000000}">
      <tableStyleElement type="wholeTable" dxfId="59"/>
    </tableStyle>
    <tableStyle name="Table Style 2" pivot="0" count="1" xr9:uid="{00000000-0011-0000-FFFF-FFFF02000000}">
      <tableStyleElement type="wholeTable" dxfId="58"/>
    </tableStyle>
  </tableStyles>
  <colors>
    <mruColors>
      <color rgb="FF2BAEAB"/>
      <color rgb="FFFFCCCC"/>
      <color rgb="FF312B57"/>
      <color rgb="FFE3DFEF"/>
      <color rgb="FF5F5490"/>
      <color rgb="FFA50021"/>
      <color rgb="FFFFFFCC"/>
      <color rgb="FFE2EFDA"/>
      <color rgb="FF00808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 List_Latest_2026 (1).xlsx]Sheet10!PivotTable2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b="1" u="sng">
                <a:solidFill>
                  <a:sysClr val="windowText" lastClr="000000"/>
                </a:solidFill>
              </a:rPr>
              <a:t>TOMYPAK</a:t>
            </a:r>
            <a:r>
              <a:rPr lang="en-GB" b="1" u="sng" baseline="0">
                <a:solidFill>
                  <a:sysClr val="windowText" lastClr="000000"/>
                </a:solidFill>
              </a:rPr>
              <a:t> SUMMARY OF PC</a:t>
            </a:r>
            <a:endParaRPr lang="en-GB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Sum of OS XP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Sheet10!$A$4:$A$26</c:f>
              <c:strCache>
                <c:ptCount val="22"/>
                <c:pt idx="0">
                  <c:v>Accounts</c:v>
                </c:pt>
                <c:pt idx="1">
                  <c:v>Admin</c:v>
                </c:pt>
                <c:pt idx="2">
                  <c:v>Bag Making</c:v>
                </c:pt>
                <c:pt idx="3">
                  <c:v>BOD</c:v>
                </c:pt>
                <c:pt idx="4">
                  <c:v>CPP</c:v>
                </c:pt>
                <c:pt idx="5">
                  <c:v>Flexo</c:v>
                </c:pt>
                <c:pt idx="6">
                  <c:v>HR</c:v>
                </c:pt>
                <c:pt idx="7">
                  <c:v>IT</c:v>
                </c:pt>
                <c:pt idx="8">
                  <c:v>Lamination</c:v>
                </c:pt>
                <c:pt idx="9">
                  <c:v>Maintenance</c:v>
                </c:pt>
                <c:pt idx="10">
                  <c:v>Metallizing</c:v>
                </c:pt>
                <c:pt idx="11">
                  <c:v>Planning</c:v>
                </c:pt>
                <c:pt idx="12">
                  <c:v>Prepress</c:v>
                </c:pt>
                <c:pt idx="13">
                  <c:v>Printing</c:v>
                </c:pt>
                <c:pt idx="14">
                  <c:v>Purchasing</c:v>
                </c:pt>
                <c:pt idx="15">
                  <c:v>QC</c:v>
                </c:pt>
                <c:pt idx="16">
                  <c:v>R&amp;D</c:v>
                </c:pt>
                <c:pt idx="17">
                  <c:v>Recycle</c:v>
                </c:pt>
                <c:pt idx="18">
                  <c:v>Sales</c:v>
                </c:pt>
                <c:pt idx="19">
                  <c:v>SCA</c:v>
                </c:pt>
                <c:pt idx="20">
                  <c:v>Slitting</c:v>
                </c:pt>
                <c:pt idx="21">
                  <c:v>Warehouse</c:v>
                </c:pt>
              </c:strCache>
            </c:strRef>
          </c:cat>
          <c:val>
            <c:numRef>
              <c:f>Sheet10!$B$4:$B$26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B-43DD-A499-3354F8AE28FE}"/>
            </c:ext>
          </c:extLst>
        </c:ser>
        <c:ser>
          <c:idx val="1"/>
          <c:order val="1"/>
          <c:tx>
            <c:strRef>
              <c:f>Sheet10!$C$3</c:f>
              <c:strCache>
                <c:ptCount val="1"/>
                <c:pt idx="0">
                  <c:v>Sum of OS 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Sheet10!$A$4:$A$26</c:f>
              <c:strCache>
                <c:ptCount val="22"/>
                <c:pt idx="0">
                  <c:v>Accounts</c:v>
                </c:pt>
                <c:pt idx="1">
                  <c:v>Admin</c:v>
                </c:pt>
                <c:pt idx="2">
                  <c:v>Bag Making</c:v>
                </c:pt>
                <c:pt idx="3">
                  <c:v>BOD</c:v>
                </c:pt>
                <c:pt idx="4">
                  <c:v>CPP</c:v>
                </c:pt>
                <c:pt idx="5">
                  <c:v>Flexo</c:v>
                </c:pt>
                <c:pt idx="6">
                  <c:v>HR</c:v>
                </c:pt>
                <c:pt idx="7">
                  <c:v>IT</c:v>
                </c:pt>
                <c:pt idx="8">
                  <c:v>Lamination</c:v>
                </c:pt>
                <c:pt idx="9">
                  <c:v>Maintenance</c:v>
                </c:pt>
                <c:pt idx="10">
                  <c:v>Metallizing</c:v>
                </c:pt>
                <c:pt idx="11">
                  <c:v>Planning</c:v>
                </c:pt>
                <c:pt idx="12">
                  <c:v>Prepress</c:v>
                </c:pt>
                <c:pt idx="13">
                  <c:v>Printing</c:v>
                </c:pt>
                <c:pt idx="14">
                  <c:v>Purchasing</c:v>
                </c:pt>
                <c:pt idx="15">
                  <c:v>QC</c:v>
                </c:pt>
                <c:pt idx="16">
                  <c:v>R&amp;D</c:v>
                </c:pt>
                <c:pt idx="17">
                  <c:v>Recycle</c:v>
                </c:pt>
                <c:pt idx="18">
                  <c:v>Sales</c:v>
                </c:pt>
                <c:pt idx="19">
                  <c:v>SCA</c:v>
                </c:pt>
                <c:pt idx="20">
                  <c:v>Slitting</c:v>
                </c:pt>
                <c:pt idx="21">
                  <c:v>Warehouse</c:v>
                </c:pt>
              </c:strCache>
            </c:strRef>
          </c:cat>
          <c:val>
            <c:numRef>
              <c:f>Sheet10!$C$4:$C$26</c:f>
              <c:numCache>
                <c:formatCode>General</c:formatCode>
                <c:ptCount val="22"/>
                <c:pt idx="0">
                  <c:v>8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B-43DD-A499-3354F8AE28FE}"/>
            </c:ext>
          </c:extLst>
        </c:ser>
        <c:ser>
          <c:idx val="2"/>
          <c:order val="2"/>
          <c:tx>
            <c:strRef>
              <c:f>Sheet10!$D$3</c:f>
              <c:strCache>
                <c:ptCount val="1"/>
                <c:pt idx="0">
                  <c:v>Sum of OS 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Sheet10!$A$4:$A$26</c:f>
              <c:strCache>
                <c:ptCount val="22"/>
                <c:pt idx="0">
                  <c:v>Accounts</c:v>
                </c:pt>
                <c:pt idx="1">
                  <c:v>Admin</c:v>
                </c:pt>
                <c:pt idx="2">
                  <c:v>Bag Making</c:v>
                </c:pt>
                <c:pt idx="3">
                  <c:v>BOD</c:v>
                </c:pt>
                <c:pt idx="4">
                  <c:v>CPP</c:v>
                </c:pt>
                <c:pt idx="5">
                  <c:v>Flexo</c:v>
                </c:pt>
                <c:pt idx="6">
                  <c:v>HR</c:v>
                </c:pt>
                <c:pt idx="7">
                  <c:v>IT</c:v>
                </c:pt>
                <c:pt idx="8">
                  <c:v>Lamination</c:v>
                </c:pt>
                <c:pt idx="9">
                  <c:v>Maintenance</c:v>
                </c:pt>
                <c:pt idx="10">
                  <c:v>Metallizing</c:v>
                </c:pt>
                <c:pt idx="11">
                  <c:v>Planning</c:v>
                </c:pt>
                <c:pt idx="12">
                  <c:v>Prepress</c:v>
                </c:pt>
                <c:pt idx="13">
                  <c:v>Printing</c:v>
                </c:pt>
                <c:pt idx="14">
                  <c:v>Purchasing</c:v>
                </c:pt>
                <c:pt idx="15">
                  <c:v>QC</c:v>
                </c:pt>
                <c:pt idx="16">
                  <c:v>R&amp;D</c:v>
                </c:pt>
                <c:pt idx="17">
                  <c:v>Recycle</c:v>
                </c:pt>
                <c:pt idx="18">
                  <c:v>Sales</c:v>
                </c:pt>
                <c:pt idx="19">
                  <c:v>SCA</c:v>
                </c:pt>
                <c:pt idx="20">
                  <c:v>Slitting</c:v>
                </c:pt>
                <c:pt idx="21">
                  <c:v>Warehouse</c:v>
                </c:pt>
              </c:strCache>
            </c:strRef>
          </c:cat>
          <c:val>
            <c:numRef>
              <c:f>Sheet10!$D$4:$D$26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B-43DD-A499-3354F8AE28FE}"/>
            </c:ext>
          </c:extLst>
        </c:ser>
        <c:ser>
          <c:idx val="3"/>
          <c:order val="3"/>
          <c:tx>
            <c:strRef>
              <c:f>Sheet10!$E$3</c:f>
              <c:strCache>
                <c:ptCount val="1"/>
                <c:pt idx="0">
                  <c:v>Sum of OS 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Sheet10!$A$4:$A$26</c:f>
              <c:strCache>
                <c:ptCount val="22"/>
                <c:pt idx="0">
                  <c:v>Accounts</c:v>
                </c:pt>
                <c:pt idx="1">
                  <c:v>Admin</c:v>
                </c:pt>
                <c:pt idx="2">
                  <c:v>Bag Making</c:v>
                </c:pt>
                <c:pt idx="3">
                  <c:v>BOD</c:v>
                </c:pt>
                <c:pt idx="4">
                  <c:v>CPP</c:v>
                </c:pt>
                <c:pt idx="5">
                  <c:v>Flexo</c:v>
                </c:pt>
                <c:pt idx="6">
                  <c:v>HR</c:v>
                </c:pt>
                <c:pt idx="7">
                  <c:v>IT</c:v>
                </c:pt>
                <c:pt idx="8">
                  <c:v>Lamination</c:v>
                </c:pt>
                <c:pt idx="9">
                  <c:v>Maintenance</c:v>
                </c:pt>
                <c:pt idx="10">
                  <c:v>Metallizing</c:v>
                </c:pt>
                <c:pt idx="11">
                  <c:v>Planning</c:v>
                </c:pt>
                <c:pt idx="12">
                  <c:v>Prepress</c:v>
                </c:pt>
                <c:pt idx="13">
                  <c:v>Printing</c:v>
                </c:pt>
                <c:pt idx="14">
                  <c:v>Purchasing</c:v>
                </c:pt>
                <c:pt idx="15">
                  <c:v>QC</c:v>
                </c:pt>
                <c:pt idx="16">
                  <c:v>R&amp;D</c:v>
                </c:pt>
                <c:pt idx="17">
                  <c:v>Recycle</c:v>
                </c:pt>
                <c:pt idx="18">
                  <c:v>Sales</c:v>
                </c:pt>
                <c:pt idx="19">
                  <c:v>SCA</c:v>
                </c:pt>
                <c:pt idx="20">
                  <c:v>Slitting</c:v>
                </c:pt>
                <c:pt idx="21">
                  <c:v>Warehouse</c:v>
                </c:pt>
              </c:strCache>
            </c:strRef>
          </c:cat>
          <c:val>
            <c:numRef>
              <c:f>Sheet10!$E$4:$E$26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8B-43DD-A499-3354F8AE28FE}"/>
            </c:ext>
          </c:extLst>
        </c:ser>
        <c:ser>
          <c:idx val="4"/>
          <c:order val="4"/>
          <c:tx>
            <c:strRef>
              <c:f>Sheet10!$F$3</c:f>
              <c:strCache>
                <c:ptCount val="1"/>
                <c:pt idx="0">
                  <c:v>Sum of Laptop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Sheet10!$A$4:$A$26</c:f>
              <c:strCache>
                <c:ptCount val="22"/>
                <c:pt idx="0">
                  <c:v>Accounts</c:v>
                </c:pt>
                <c:pt idx="1">
                  <c:v>Admin</c:v>
                </c:pt>
                <c:pt idx="2">
                  <c:v>Bag Making</c:v>
                </c:pt>
                <c:pt idx="3">
                  <c:v>BOD</c:v>
                </c:pt>
                <c:pt idx="4">
                  <c:v>CPP</c:v>
                </c:pt>
                <c:pt idx="5">
                  <c:v>Flexo</c:v>
                </c:pt>
                <c:pt idx="6">
                  <c:v>HR</c:v>
                </c:pt>
                <c:pt idx="7">
                  <c:v>IT</c:v>
                </c:pt>
                <c:pt idx="8">
                  <c:v>Lamination</c:v>
                </c:pt>
                <c:pt idx="9">
                  <c:v>Maintenance</c:v>
                </c:pt>
                <c:pt idx="10">
                  <c:v>Metallizing</c:v>
                </c:pt>
                <c:pt idx="11">
                  <c:v>Planning</c:v>
                </c:pt>
                <c:pt idx="12">
                  <c:v>Prepress</c:v>
                </c:pt>
                <c:pt idx="13">
                  <c:v>Printing</c:v>
                </c:pt>
                <c:pt idx="14">
                  <c:v>Purchasing</c:v>
                </c:pt>
                <c:pt idx="15">
                  <c:v>QC</c:v>
                </c:pt>
                <c:pt idx="16">
                  <c:v>R&amp;D</c:v>
                </c:pt>
                <c:pt idx="17">
                  <c:v>Recycle</c:v>
                </c:pt>
                <c:pt idx="18">
                  <c:v>Sales</c:v>
                </c:pt>
                <c:pt idx="19">
                  <c:v>SCA</c:v>
                </c:pt>
                <c:pt idx="20">
                  <c:v>Slitting</c:v>
                </c:pt>
                <c:pt idx="21">
                  <c:v>Warehouse</c:v>
                </c:pt>
              </c:strCache>
            </c:strRef>
          </c:cat>
          <c:val>
            <c:numRef>
              <c:f>Sheet10!$F$4:$F$26</c:f>
              <c:numCache>
                <c:formatCode>General</c:formatCode>
                <c:ptCount val="2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8B-43DD-A499-3354F8AE28FE}"/>
            </c:ext>
          </c:extLst>
        </c:ser>
        <c:ser>
          <c:idx val="5"/>
          <c:order val="5"/>
          <c:tx>
            <c:strRef>
              <c:f>Sheet10!$G$3</c:f>
              <c:strCache>
                <c:ptCount val="1"/>
                <c:pt idx="0">
                  <c:v>Sum of Desktop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Sheet10!$A$4:$A$26</c:f>
              <c:strCache>
                <c:ptCount val="22"/>
                <c:pt idx="0">
                  <c:v>Accounts</c:v>
                </c:pt>
                <c:pt idx="1">
                  <c:v>Admin</c:v>
                </c:pt>
                <c:pt idx="2">
                  <c:v>Bag Making</c:v>
                </c:pt>
                <c:pt idx="3">
                  <c:v>BOD</c:v>
                </c:pt>
                <c:pt idx="4">
                  <c:v>CPP</c:v>
                </c:pt>
                <c:pt idx="5">
                  <c:v>Flexo</c:v>
                </c:pt>
                <c:pt idx="6">
                  <c:v>HR</c:v>
                </c:pt>
                <c:pt idx="7">
                  <c:v>IT</c:v>
                </c:pt>
                <c:pt idx="8">
                  <c:v>Lamination</c:v>
                </c:pt>
                <c:pt idx="9">
                  <c:v>Maintenance</c:v>
                </c:pt>
                <c:pt idx="10">
                  <c:v>Metallizing</c:v>
                </c:pt>
                <c:pt idx="11">
                  <c:v>Planning</c:v>
                </c:pt>
                <c:pt idx="12">
                  <c:v>Prepress</c:v>
                </c:pt>
                <c:pt idx="13">
                  <c:v>Printing</c:v>
                </c:pt>
                <c:pt idx="14">
                  <c:v>Purchasing</c:v>
                </c:pt>
                <c:pt idx="15">
                  <c:v>QC</c:v>
                </c:pt>
                <c:pt idx="16">
                  <c:v>R&amp;D</c:v>
                </c:pt>
                <c:pt idx="17">
                  <c:v>Recycle</c:v>
                </c:pt>
                <c:pt idx="18">
                  <c:v>Sales</c:v>
                </c:pt>
                <c:pt idx="19">
                  <c:v>SCA</c:v>
                </c:pt>
                <c:pt idx="20">
                  <c:v>Slitting</c:v>
                </c:pt>
                <c:pt idx="21">
                  <c:v>Warehouse</c:v>
                </c:pt>
              </c:strCache>
            </c:strRef>
          </c:cat>
          <c:val>
            <c:numRef>
              <c:f>Sheet10!$G$4:$G$26</c:f>
              <c:numCache>
                <c:formatCode>General</c:formatCode>
                <c:ptCount val="22"/>
                <c:pt idx="0">
                  <c:v>9</c:v>
                </c:pt>
                <c:pt idx="1">
                  <c:v>4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8B-43DD-A499-3354F8AE28FE}"/>
            </c:ext>
          </c:extLst>
        </c:ser>
        <c:ser>
          <c:idx val="6"/>
          <c:order val="6"/>
          <c:tx>
            <c:strRef>
              <c:f>Sheet10!$H$3</c:f>
              <c:strCache>
                <c:ptCount val="1"/>
                <c:pt idx="0">
                  <c:v>Sum of Overall Qty PC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Sheet10!$A$4:$A$26</c:f>
              <c:strCache>
                <c:ptCount val="22"/>
                <c:pt idx="0">
                  <c:v>Accounts</c:v>
                </c:pt>
                <c:pt idx="1">
                  <c:v>Admin</c:v>
                </c:pt>
                <c:pt idx="2">
                  <c:v>Bag Making</c:v>
                </c:pt>
                <c:pt idx="3">
                  <c:v>BOD</c:v>
                </c:pt>
                <c:pt idx="4">
                  <c:v>CPP</c:v>
                </c:pt>
                <c:pt idx="5">
                  <c:v>Flexo</c:v>
                </c:pt>
                <c:pt idx="6">
                  <c:v>HR</c:v>
                </c:pt>
                <c:pt idx="7">
                  <c:v>IT</c:v>
                </c:pt>
                <c:pt idx="8">
                  <c:v>Lamination</c:v>
                </c:pt>
                <c:pt idx="9">
                  <c:v>Maintenance</c:v>
                </c:pt>
                <c:pt idx="10">
                  <c:v>Metallizing</c:v>
                </c:pt>
                <c:pt idx="11">
                  <c:v>Planning</c:v>
                </c:pt>
                <c:pt idx="12">
                  <c:v>Prepress</c:v>
                </c:pt>
                <c:pt idx="13">
                  <c:v>Printing</c:v>
                </c:pt>
                <c:pt idx="14">
                  <c:v>Purchasing</c:v>
                </c:pt>
                <c:pt idx="15">
                  <c:v>QC</c:v>
                </c:pt>
                <c:pt idx="16">
                  <c:v>R&amp;D</c:v>
                </c:pt>
                <c:pt idx="17">
                  <c:v>Recycle</c:v>
                </c:pt>
                <c:pt idx="18">
                  <c:v>Sales</c:v>
                </c:pt>
                <c:pt idx="19">
                  <c:v>SCA</c:v>
                </c:pt>
                <c:pt idx="20">
                  <c:v>Slitting</c:v>
                </c:pt>
                <c:pt idx="21">
                  <c:v>Warehouse</c:v>
                </c:pt>
              </c:strCache>
            </c:strRef>
          </c:cat>
          <c:val>
            <c:numRef>
              <c:f>Sheet10!$H$4:$H$26</c:f>
              <c:numCache>
                <c:formatCode>General</c:formatCode>
                <c:ptCount val="22"/>
                <c:pt idx="0">
                  <c:v>12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21</c:v>
                </c:pt>
                <c:pt idx="19">
                  <c:v>3</c:v>
                </c:pt>
                <c:pt idx="20">
                  <c:v>9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8B-43DD-A499-3354F8AE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912304"/>
        <c:axId val="350910736"/>
      </c:barChart>
      <c:catAx>
        <c:axId val="35091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10736"/>
        <c:crosses val="autoZero"/>
        <c:auto val="1"/>
        <c:lblAlgn val="ctr"/>
        <c:lblOffset val="100"/>
        <c:noMultiLvlLbl val="0"/>
      </c:catAx>
      <c:valAx>
        <c:axId val="35091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203350</xdr:colOff>
      <xdr:row>2</xdr:row>
      <xdr:rowOff>30239</xdr:rowOff>
    </xdr:from>
    <xdr:to>
      <xdr:col>18</xdr:col>
      <xdr:colOff>151189</xdr:colOff>
      <xdr:row>26</xdr:row>
      <xdr:rowOff>15119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CAFF5-4AB3-43B7-8562-A9A8B7EF3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127000</xdr:rowOff>
    </xdr:from>
    <xdr:to>
      <xdr:col>3</xdr:col>
      <xdr:colOff>50800</xdr:colOff>
      <xdr:row>26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EF142F-5753-4B3E-8052-FF67A499BE02}"/>
            </a:ext>
          </a:extLst>
        </xdr:cNvPr>
        <xdr:cNvSpPr/>
      </xdr:nvSpPr>
      <xdr:spPr>
        <a:xfrm>
          <a:off x="57150" y="127000"/>
          <a:ext cx="1822450" cy="4699000"/>
        </a:xfrm>
        <a:prstGeom prst="rect">
          <a:avLst/>
        </a:prstGeom>
        <a:solidFill>
          <a:srgbClr val="312B5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158750</xdr:colOff>
      <xdr:row>0</xdr:row>
      <xdr:rowOff>139700</xdr:rowOff>
    </xdr:from>
    <xdr:to>
      <xdr:col>14</xdr:col>
      <xdr:colOff>139700</xdr:colOff>
      <xdr:row>3</xdr:row>
      <xdr:rowOff>6350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EDBE6D8-10FD-4F97-B959-8F4580187DCB}"/>
            </a:ext>
          </a:extLst>
        </xdr:cNvPr>
        <xdr:cNvSpPr/>
      </xdr:nvSpPr>
      <xdr:spPr>
        <a:xfrm>
          <a:off x="1987550" y="139700"/>
          <a:ext cx="6686550" cy="4191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100" b="1">
              <a:solidFill>
                <a:srgbClr val="312B57"/>
              </a:solidFill>
              <a:latin typeface="Abadi" panose="020B0604020104020204" pitchFamily="34" charset="0"/>
            </a:rPr>
            <a:t>Tomypak</a:t>
          </a:r>
          <a:r>
            <a:rPr lang="en-GB" sz="1100" b="1" baseline="0">
              <a:solidFill>
                <a:srgbClr val="312B57"/>
              </a:solidFill>
              <a:latin typeface="Abadi" panose="020B0604020104020204" pitchFamily="34" charset="0"/>
            </a:rPr>
            <a:t> PC Listing</a:t>
          </a:r>
          <a:endParaRPr lang="en-GB" sz="1100" b="1">
            <a:solidFill>
              <a:srgbClr val="312B57"/>
            </a:solidFill>
            <a:latin typeface="Abadi" panose="020B0604020104020204" pitchFamily="34" charset="0"/>
          </a:endParaRPr>
        </a:p>
      </xdr:txBody>
    </xdr:sp>
    <xdr:clientData/>
  </xdr:twoCellAnchor>
  <xdr:twoCellAnchor>
    <xdr:from>
      <xdr:col>3</xdr:col>
      <xdr:colOff>304800</xdr:colOff>
      <xdr:row>3</xdr:row>
      <xdr:rowOff>139700</xdr:rowOff>
    </xdr:from>
    <xdr:to>
      <xdr:col>6</xdr:col>
      <xdr:colOff>88900</xdr:colOff>
      <xdr:row>8</xdr:row>
      <xdr:rowOff>171450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61F6A23-3259-46EE-A624-C76AA709134C}"/>
            </a:ext>
          </a:extLst>
        </xdr:cNvPr>
        <xdr:cNvSpPr/>
      </xdr:nvSpPr>
      <xdr:spPr>
        <a:xfrm>
          <a:off x="2133600" y="692150"/>
          <a:ext cx="1612900" cy="952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hamad Syafiq Bin Ateh" id="{4660AF15-8542-410B-B9EB-25992D9D13F7}" userId="S::msyafiq.ateh@tomypak.com.my::6bb60dcb-d8fe-4fea-a58d-066ece5a542a" providerId="AD"/>
  <person displayName="Mohamad Nasrullah Bin Mohd Din" id="{74082C77-C20E-4C04-997B-209B94FC2492}" userId="S::mnasrullah.mdin@tomypak.com.my::2d67cd5f-dbff-4380-8d88-8c510a206f3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afiqah" refreshedDate="44323.498625" createdVersion="6" refreshedVersion="7" minRefreshableVersion="3" recordCount="22" xr:uid="{00000000-000A-0000-FFFF-FFFF00000000}">
  <cacheSource type="worksheet">
    <worksheetSource ref="D118:O140" sheet="PC List Master"/>
  </cacheSource>
  <cacheFields count="8">
    <cacheField name="Department" numFmtId="0">
      <sharedItems count="22">
        <s v="Accounts"/>
        <s v="Admin"/>
        <s v="Bag Making"/>
        <s v="BOD"/>
        <s v="CPP"/>
        <s v="Flexo"/>
        <s v="HR"/>
        <s v="IT"/>
        <s v="Lamination"/>
        <s v="Maintenance"/>
        <s v="Metallizing"/>
        <s v="Planning"/>
        <s v="Prepress"/>
        <s v="Printing"/>
        <s v="Purchasing"/>
        <s v="QC"/>
        <s v="R&amp;D"/>
        <s v="Recycle"/>
        <s v="Sales"/>
        <s v="SCA"/>
        <s v="Slitting"/>
        <s v="Warehouse"/>
      </sharedItems>
    </cacheField>
    <cacheField name="Laptop" numFmtId="0">
      <sharedItems containsSemiMixedTypes="0" containsString="0" containsNumber="1" containsInteger="1" minValue="0" maxValue="3"/>
    </cacheField>
    <cacheField name="Desktop" numFmtId="0">
      <sharedItems containsSemiMixedTypes="0" containsString="0" containsNumber="1" containsInteger="1" minValue="0" maxValue="9"/>
    </cacheField>
    <cacheField name="Overall Qty PC" numFmtId="0">
      <sharedItems containsSemiMixedTypes="0" containsString="0" containsNumber="1" containsInteger="1" minValue="0" maxValue="21"/>
    </cacheField>
    <cacheField name="OS XP " numFmtId="0">
      <sharedItems containsSemiMixedTypes="0" containsString="0" containsNumber="1" containsInteger="1" minValue="0" maxValue="0"/>
    </cacheField>
    <cacheField name="OS 7" numFmtId="0">
      <sharedItems containsSemiMixedTypes="0" containsString="0" containsNumber="1" containsInteger="1" minValue="0" maxValue="8"/>
    </cacheField>
    <cacheField name="OS 8" numFmtId="0">
      <sharedItems containsSemiMixedTypes="0" containsString="0" containsNumber="1" containsInteger="1" minValue="0" maxValue="0"/>
    </cacheField>
    <cacheField name="OS 10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3"/>
    <n v="9"/>
    <n v="12"/>
    <n v="0"/>
    <n v="8"/>
    <n v="0"/>
    <n v="0"/>
  </r>
  <r>
    <x v="1"/>
    <n v="0"/>
    <n v="4"/>
    <n v="4"/>
    <n v="0"/>
    <n v="3"/>
    <n v="0"/>
    <n v="0"/>
  </r>
  <r>
    <x v="2"/>
    <n v="0"/>
    <n v="5"/>
    <n v="5"/>
    <n v="0"/>
    <n v="0"/>
    <n v="0"/>
    <n v="0"/>
  </r>
  <r>
    <x v="3"/>
    <n v="2"/>
    <n v="0"/>
    <n v="2"/>
    <n v="0"/>
    <n v="0"/>
    <n v="0"/>
    <n v="0"/>
  </r>
  <r>
    <x v="4"/>
    <n v="0"/>
    <n v="0"/>
    <n v="4"/>
    <n v="0"/>
    <n v="0"/>
    <n v="0"/>
    <n v="2"/>
  </r>
  <r>
    <x v="5"/>
    <n v="0"/>
    <n v="0"/>
    <n v="1"/>
    <n v="0"/>
    <n v="0"/>
    <n v="0"/>
    <n v="0"/>
  </r>
  <r>
    <x v="6"/>
    <n v="2"/>
    <n v="4"/>
    <n v="6"/>
    <n v="0"/>
    <n v="0"/>
    <n v="0"/>
    <n v="1"/>
  </r>
  <r>
    <x v="7"/>
    <n v="0"/>
    <n v="0"/>
    <n v="0"/>
    <n v="0"/>
    <n v="0"/>
    <n v="0"/>
    <n v="0"/>
  </r>
  <r>
    <x v="8"/>
    <n v="0"/>
    <n v="0"/>
    <n v="0"/>
    <n v="0"/>
    <n v="0"/>
    <n v="0"/>
    <n v="0"/>
  </r>
  <r>
    <x v="9"/>
    <n v="0"/>
    <n v="0"/>
    <n v="0"/>
    <n v="0"/>
    <n v="0"/>
    <n v="0"/>
    <n v="0"/>
  </r>
  <r>
    <x v="10"/>
    <n v="0"/>
    <n v="5"/>
    <n v="0"/>
    <n v="0"/>
    <n v="0"/>
    <n v="0"/>
    <n v="2"/>
  </r>
  <r>
    <x v="11"/>
    <n v="0"/>
    <n v="0"/>
    <n v="0"/>
    <n v="0"/>
    <n v="0"/>
    <n v="0"/>
    <n v="0"/>
  </r>
  <r>
    <x v="12"/>
    <n v="0"/>
    <n v="0"/>
    <n v="0"/>
    <n v="0"/>
    <n v="0"/>
    <n v="0"/>
    <n v="0"/>
  </r>
  <r>
    <x v="13"/>
    <n v="0"/>
    <n v="0"/>
    <n v="0"/>
    <n v="0"/>
    <n v="0"/>
    <n v="0"/>
    <n v="0"/>
  </r>
  <r>
    <x v="14"/>
    <n v="0"/>
    <n v="0"/>
    <n v="4"/>
    <n v="0"/>
    <n v="0"/>
    <n v="0"/>
    <n v="0"/>
  </r>
  <r>
    <x v="15"/>
    <n v="0"/>
    <n v="0"/>
    <n v="0"/>
    <n v="0"/>
    <n v="0"/>
    <n v="0"/>
    <n v="0"/>
  </r>
  <r>
    <x v="16"/>
    <n v="0"/>
    <n v="0"/>
    <n v="0"/>
    <n v="0"/>
    <n v="0"/>
    <n v="0"/>
    <n v="0"/>
  </r>
  <r>
    <x v="17"/>
    <n v="0"/>
    <n v="0"/>
    <n v="1"/>
    <n v="0"/>
    <n v="0"/>
    <n v="0"/>
    <n v="0"/>
  </r>
  <r>
    <x v="18"/>
    <n v="0"/>
    <n v="0"/>
    <n v="21"/>
    <n v="0"/>
    <n v="0"/>
    <n v="0"/>
    <n v="0"/>
  </r>
  <r>
    <x v="19"/>
    <n v="0"/>
    <n v="0"/>
    <n v="3"/>
    <n v="0"/>
    <n v="0"/>
    <n v="0"/>
    <n v="0"/>
  </r>
  <r>
    <x v="20"/>
    <n v="0"/>
    <n v="0"/>
    <n v="9"/>
    <n v="0"/>
    <n v="0"/>
    <n v="0"/>
    <n v="0"/>
  </r>
  <r>
    <x v="21"/>
    <n v="0"/>
    <n v="0"/>
    <n v="1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hartFormat="1">
  <location ref="A3:H26" firstHeaderRow="0" firstDataRow="1" firstDataCol="1"/>
  <pivotFields count="8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OS XP " fld="4" baseField="0" baseItem="0"/>
    <dataField name="Sum of OS 7" fld="5" baseField="0" baseItem="0"/>
    <dataField name="Sum of OS 8" fld="6" baseField="0" baseItem="0"/>
    <dataField name="Sum of OS 10" fld="7" baseField="0" baseItem="0"/>
    <dataField name="Sum of Laptop" fld="1" baseField="0" baseItem="0"/>
    <dataField name="Sum of Desktop" fld="2" baseField="0" baseItem="0"/>
    <dataField name="Sum of Overall Qty PC" fld="3" baseField="0" baseItem="0"/>
  </dataFields>
  <formats count="8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AC53" totalsRowShown="0" headerRowDxfId="57" dataDxfId="55" headerRowBorderDxfId="56">
  <autoFilter ref="A1:AC53" xr:uid="{00000000-000C-0000-FFFF-FFFF01000000}">
    <filterColumn colId="6">
      <filters>
        <filter val="Norizan"/>
        <filter val="(NonBlanks)"/>
      </filters>
    </filterColumn>
  </autoFilter>
  <tableColumns count="29">
    <tableColumn id="2" xr3:uid="{00000000-0010-0000-0100-000002000000}" name="Names" dataDxfId="54"/>
    <tableColumn id="34" xr3:uid="{F7B33110-A5CE-8F41-BF88-6040A43F06F5}" name="Column1" dataDxfId="53"/>
    <tableColumn id="6" xr3:uid="{3C6F848C-C6D6-4506-B92E-15F2D2841CE1}" name="Asset ID." dataDxfId="52"/>
    <tableColumn id="7" xr3:uid="{00000000-0010-0000-0100-000007000000}" name="Status" dataDxfId="51"/>
    <tableColumn id="32" xr3:uid="{182C4536-8060-4E12-87CE-98E87172A751}" name="History" dataDxfId="50"/>
    <tableColumn id="8" xr3:uid="{00000000-0010-0000-0100-000008000000}" name="Type" dataDxfId="49"/>
    <tableColumn id="9" xr3:uid="{00000000-0010-0000-0100-000009000000}" name="User" dataDxfId="48"/>
    <tableColumn id="4" xr3:uid="{E0B31E41-9A09-4670-ABEC-36B9B7B29C07}" name="Column3" dataDxfId="47"/>
    <tableColumn id="3" xr3:uid="{243319C2-A5A0-424B-B5DB-9F70286482E1}" name="Previous User" dataDxfId="46"/>
    <tableColumn id="10" xr3:uid="{00000000-0010-0000-0100-00000A000000}" name="Plant" dataDxfId="45"/>
    <tableColumn id="11" xr3:uid="{00000000-0010-0000-0100-00000B000000}" name="Department" dataDxfId="44"/>
    <tableColumn id="13" xr3:uid="{00000000-0010-0000-0100-00000D000000}" name="Pur.Yr." dataDxfId="43"/>
    <tableColumn id="12" xr3:uid="{D242F597-7CEF-4FA5-851E-A9975DDB5F62}" name="Contract End" dataDxfId="42"/>
    <tableColumn id="14" xr3:uid="{00000000-0010-0000-0100-00000E000000}" name="IP Address" dataDxfId="41"/>
    <tableColumn id="15" xr3:uid="{00000000-0010-0000-0100-00000F000000}" name="mac address" dataDxfId="40"/>
    <tableColumn id="16" xr3:uid="{00000000-0010-0000-0100-000010000000}" name="Brand" dataDxfId="39"/>
    <tableColumn id="17" xr3:uid="{00000000-0010-0000-0100-000011000000}" name="Model" dataDxfId="38"/>
    <tableColumn id="18" xr3:uid="{00000000-0010-0000-0100-000012000000}" name="S/N" dataDxfId="37"/>
    <tableColumn id="19" xr3:uid="{00000000-0010-0000-0100-000013000000}" name="OS" dataDxfId="36"/>
    <tableColumn id="20" xr3:uid="{00000000-0010-0000-0100-000014000000}" name="OS Key" dataDxfId="35"/>
    <tableColumn id="21" xr3:uid="{00000000-0010-0000-0100-000015000000}" name="Processor" dataDxfId="34"/>
    <tableColumn id="23" xr3:uid="{00000000-0010-0000-0100-000017000000}" name="RAM" dataDxfId="33"/>
    <tableColumn id="24" xr3:uid="{00000000-0010-0000-0100-000018000000}" name="HDD Capacity" dataDxfId="32"/>
    <tableColumn id="25" xr3:uid="{00000000-0010-0000-0100-000019000000}" name="App " dataDxfId="31"/>
    <tableColumn id="26" xr3:uid="{00000000-0010-0000-0100-00001A000000}" name="App Key" dataDxfId="30"/>
    <tableColumn id="29" xr3:uid="{00000000-0010-0000-0100-00001D000000}" name="Other App. Installed2" dataDxfId="29"/>
    <tableColumn id="1" xr3:uid="{00000000-0010-0000-0100-000001000000}" name="Any Desk Address" dataDxfId="28"/>
    <tableColumn id="5" xr3:uid="{4312E484-8232-47D8-8D6C-E730C0B48DD2}" name="Batch Number" dataDxfId="27"/>
    <tableColumn id="30" xr3:uid="{1A87A462-857B-4A45-804A-CD4726969D0D}" name="Column2" dataDxfId="26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471EFC-1C58-4805-94BE-3375E38F5764}" name="masterlist_2026" displayName="masterlist_2026" ref="A1:AC203" totalsRowShown="0">
  <autoFilter ref="A1:AC203" xr:uid="{E8471EFC-1C58-4805-94BE-3375E38F5764}"/>
  <tableColumns count="29">
    <tableColumn id="1" xr3:uid="{CD44B515-C5A7-468F-B5D9-4A2F7E49FDB4}" name="Names"/>
    <tableColumn id="2" xr3:uid="{091349CA-8699-4B3A-BC9F-6D1F5874B2A5}" name="Device_name"/>
    <tableColumn id="3" xr3:uid="{BE026D98-C9B4-4919-AB43-345A4A6195CF}" name="Status"/>
    <tableColumn id="27" xr3:uid="{4B7FDAA6-80B1-42F6-B32E-B624BD5DBD0D}" name="Workgroup"/>
    <tableColumn id="4" xr3:uid="{20C738E9-3F39-4FB9-B043-C22D1CF6F5D5}" name="Remarks"/>
    <tableColumn id="5" xr3:uid="{14D7292E-8795-4722-A9AC-A0BFE270356D}" name="Device_type"/>
    <tableColumn id="6" xr3:uid="{54E1FA92-41C0-4546-B806-9FF327C683FE}" name="Employee_name"/>
    <tableColumn id="26" xr3:uid="{A82BA8AB-EC17-4762-B102-C13A4CFA9CFF}" name="Employee_id"/>
    <tableColumn id="7" xr3:uid="{67BA3B5E-59DF-4C6F-B1E1-6F39256A1D21}" name="Previous_users"/>
    <tableColumn id="8" xr3:uid="{9953B8DF-54C4-4167-B455-6DDA67381EF1}" name="Plant"/>
    <tableColumn id="9" xr3:uid="{BE292309-CA32-48F1-81B3-E96E61AA5474}" name="Department"/>
    <tableColumn id="10" xr3:uid="{ACCB7599-24F3-43E4-B2BE-247C9D0E3398}" name="Designation"/>
    <tableColumn id="11" xr3:uid="{272BB782-541A-4A96-814E-E43A35E88F02}" name="Purchased_year" dataDxfId="17"/>
    <tableColumn id="12" xr3:uid="{106544B7-F5CE-4734-917B-14E4B3AFA991}" name="Handover_date"/>
    <tableColumn id="13" xr3:uid="{7697291F-7C39-4843-82F2-4663C02A5CCE}" name="Mac_address"/>
    <tableColumn id="14" xr3:uid="{9057AD6C-8C18-4C1C-B0FA-CAEE10AC5E0E}" name="Brand"/>
    <tableColumn id="15" xr3:uid="{25BEEE43-F2D4-491B-BFE0-10C5CFA655C5}" name="Model"/>
    <tableColumn id="16" xr3:uid="{42DB3A45-D901-47E9-9B74-8F66C34E4E06}" name="Serial_number"/>
    <tableColumn id="17" xr3:uid="{0DB8AC81-8046-4940-BB69-48E0CEE83FE8}" name="OS"/>
    <tableColumn id="18" xr3:uid="{E906CDCE-7C53-4D33-9872-7484335982FF}" name="M365_license"/>
    <tableColumn id="19" xr3:uid="{93A74F7F-EAB6-45FA-BF80-341827BB1E3F}" name="Office_productkey"/>
    <tableColumn id="20" xr3:uid="{A51AAC16-CED6-4A2E-9415-2EBC22ED3BBA}" name="RAM"/>
    <tableColumn id="21" xr3:uid="{5B98B4D9-2D00-4FB1-9204-4C0AF1215286}" name="HDD_capacity"/>
    <tableColumn id="22" xr3:uid="{3415E7C4-682F-4283-A5E1-50B11739892E}" name="Anydesk_id" dataDxfId="16"/>
    <tableColumn id="30" xr3:uid="{0EA4A136-CA81-4C42-840B-FAFFB554E637}" name="Special_app"/>
    <tableColumn id="31" xr3:uid="{5C4A47ED-7D61-4CEB-A539-F87C700295E1}" name="App_licenses"/>
    <tableColumn id="23" xr3:uid="{99976BF0-A89C-413F-A880-2F68B6A8A45C}" name="Batch_number"/>
    <tableColumn id="28" xr3:uid="{43C5A143-CEB3-47CA-A33A-65F1430A47CB}" name="Vendor_name"/>
    <tableColumn id="24" xr3:uid="{F2653623-C2BA-426D-B424-3985C6597A2C}" name="__PowerAppsId__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32" dT="2025-09-10T07:00:34.26" personId="{4660AF15-8542-410B-B9EB-25992D9D13F7}" id="{C4FB3B67-7AAB-493E-8FAC-1A2B04548F1D}">
    <text>available on 10/9/2025. The PC not using M.Office</text>
  </threadedComment>
  <threadedComment ref="Y68" dT="2023-05-08T10:07:25.85" personId="{74082C77-C20E-4C04-997B-209B94FC2492}" id="{144172F8-A412-4F7F-9971-FDD903FA5AAD}">
    <text>Take from PC 159</text>
  </threadedComment>
  <threadedComment ref="Y69" dT="2023-05-08T10:07:25.85" personId="{74082C77-C20E-4C04-997B-209B94FC2492}" id="{C7E3C776-AE42-468B-82DD-99A7A49F9939}">
    <text>Take from PC 159</text>
  </threadedComment>
  <threadedComment ref="Y70" dT="2023-05-08T10:07:25.85" personId="{74082C77-C20E-4C04-997B-209B94FC2492}" id="{E3A117D0-22B1-47C8-979B-25C5FFF838F7}">
    <text>Take from PC 159</text>
  </threadedComment>
  <threadedComment ref="Y71" dT="2023-05-08T10:07:25.85" personId="{74082C77-C20E-4C04-997B-209B94FC2492}" id="{8B175033-1049-4E6E-9B0D-5DEAFE481139}">
    <text>Take from PC 159</text>
  </threadedComment>
  <threadedComment ref="Y72" dT="2023-05-08T10:07:25.85" personId="{74082C77-C20E-4C04-997B-209B94FC2492}" id="{98A0E077-56CA-478B-9E1F-E290A8C594EE}">
    <text>Take from PC 159</text>
  </threadedComment>
  <threadedComment ref="Y73" dT="2023-05-08T10:07:25.85" personId="{74082C77-C20E-4C04-997B-209B94FC2492}" id="{8604CD7A-AD2B-43FD-866E-89F25EB795FE}">
    <text>Take from PC 159</text>
  </threadedComment>
  <threadedComment ref="Y74" dT="2023-05-08T10:07:25.85" personId="{74082C77-C20E-4C04-997B-209B94FC2492}" id="{40BB8594-257E-4784-9171-D75ACF253C02}">
    <text>Take from PC 159</text>
  </threadedComment>
  <threadedComment ref="Y75" dT="2023-05-08T10:07:25.85" personId="{74082C77-C20E-4C04-997B-209B94FC2492}" id="{C6FA5DD0-0BC3-4E12-BAEC-80FEDB7C5EF7}">
    <text>Take from PC 159</text>
  </threadedComment>
  <threadedComment ref="Y76" dT="2023-05-08T10:07:25.85" personId="{74082C77-C20E-4C04-997B-209B94FC2492}" id="{A940DA91-C1BD-41BB-BC9C-9E953E98FFD7}">
    <text>Take from PC 159</text>
  </threadedComment>
  <threadedComment ref="Y77" dT="2023-05-08T10:07:25.85" personId="{74082C77-C20E-4C04-997B-209B94FC2492}" id="{631B04E1-95BA-454D-BE77-D188504764C5}">
    <text>Take from PC 159</text>
  </threadedComment>
  <threadedComment ref="Y78" dT="2023-05-08T10:07:25.85" personId="{74082C77-C20E-4C04-997B-209B94FC2492}" id="{EC62B265-A0E1-460F-9351-69213A8DAFF7}">
    <text>Take from PC 159</text>
  </threadedComment>
  <threadedComment ref="Y79" dT="2023-05-08T10:07:25.85" personId="{74082C77-C20E-4C04-997B-209B94FC2492}" id="{CE93D011-5F4D-4ECB-8CAC-FF6012BED774}">
    <text>Take from PC 159</text>
  </threadedComment>
  <threadedComment ref="Y80" dT="2023-05-08T10:07:25.85" personId="{74082C77-C20E-4C04-997B-209B94FC2492}" id="{6C6C53BE-736D-4626-BCB1-D749AC8BB712}">
    <text>Take from PC 159</text>
  </threadedComment>
  <threadedComment ref="Y81" dT="2023-05-08T10:07:25.85" personId="{74082C77-C20E-4C04-997B-209B94FC2492}" id="{EE19ABE9-2DD6-4A4B-8DD4-F70030FC5DD3}">
    <text>Take from PC 159</text>
  </threadedComment>
  <threadedComment ref="Y82" dT="2023-05-08T10:07:25.85" personId="{74082C77-C20E-4C04-997B-209B94FC2492}" id="{39B81BA3-50DC-47C9-8E57-4274D4C5B105}">
    <text>Take from PC 159</text>
  </threadedComment>
  <threadedComment ref="Y83" dT="2023-05-08T10:07:25.85" personId="{74082C77-C20E-4C04-997B-209B94FC2492}" id="{5425702B-8515-437A-A808-5F9CB11B032D}">
    <text>Take from PC 159</text>
  </threadedComment>
  <threadedComment ref="Y84" dT="2023-05-08T10:07:25.85" personId="{74082C77-C20E-4C04-997B-209B94FC2492}" id="{92B8486B-AF92-40C1-81DC-81791AF11BA9}">
    <text>Take from PC 159</text>
  </threadedComment>
  <threadedComment ref="Y85" dT="2023-05-08T10:07:25.85" personId="{74082C77-C20E-4C04-997B-209B94FC2492}" id="{EA0987E7-3245-4875-B609-7E8FA841DE70}">
    <text>Take from PC 159</text>
  </threadedComment>
  <threadedComment ref="Y86" dT="2023-05-08T10:07:25.85" personId="{74082C77-C20E-4C04-997B-209B94FC2492}" id="{DA57F91C-1FBD-4ADD-8794-7634B4C8972C}">
    <text>Take from PC 159</text>
  </threadedComment>
  <threadedComment ref="Y87" dT="2023-05-08T10:07:25.85" personId="{74082C77-C20E-4C04-997B-209B94FC2492}" id="{3A06BA44-0EA5-4237-AAF5-C6B3625A9DC9}">
    <text>Take from PC 159</text>
  </threadedComment>
  <threadedComment ref="Y88" dT="2023-05-08T10:07:25.85" personId="{74082C77-C20E-4C04-997B-209B94FC2492}" id="{0F2C28B9-C5FA-49D6-9352-55174D97EAE7}">
    <text>Take from PC 159</text>
  </threadedComment>
  <threadedComment ref="Y91" dT="2023-05-08T10:07:25.85" personId="{74082C77-C20E-4C04-997B-209B94FC2492}" id="{95381612-BF65-41EE-977C-6234A366184D}">
    <text>Take from PC 159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2" dT="2023-05-08T10:07:25.85" personId="{74082C77-C20E-4C04-997B-209B94FC2492}" id="{4A0424EB-330A-432B-802B-63AD4886990E}">
    <text>Take from PC 159</text>
  </threadedComment>
  <threadedComment ref="S3" dT="2023-05-08T10:07:25.85" personId="{74082C77-C20E-4C04-997B-209B94FC2492}" id="{F3F5514B-387E-4138-B13F-361F7A9CF978}">
    <text>Take from PC 159</text>
  </threadedComment>
  <threadedComment ref="S4" dT="2023-05-08T10:07:25.85" personId="{74082C77-C20E-4C04-997B-209B94FC2492}" id="{CC2D4F4A-873C-4BD4-8146-91E374C16BC7}">
    <text>Take from PC 159</text>
  </threadedComment>
  <threadedComment ref="S5" dT="2023-05-08T10:07:25.85" personId="{74082C77-C20E-4C04-997B-209B94FC2492}" id="{9A7C24ED-BBFD-46D1-ADDD-618291357CCE}">
    <text>Take from PC 159</text>
  </threadedComment>
  <threadedComment ref="S6" dT="2023-05-08T10:07:25.85" personId="{74082C77-C20E-4C04-997B-209B94FC2492}" id="{874F31BE-D250-4D20-AE50-A7626B4BFA29}">
    <text>Take from PC 159</text>
  </threadedComment>
  <threadedComment ref="S7" dT="2023-05-08T10:07:25.85" personId="{74082C77-C20E-4C04-997B-209B94FC2492}" id="{7753670C-DE81-4671-8305-CE4F0433D966}">
    <text>Take from PC 159</text>
  </threadedComment>
  <threadedComment ref="S8" dT="2023-05-08T10:07:25.85" personId="{74082C77-C20E-4C04-997B-209B94FC2492}" id="{C2BEB0BA-7775-4C4C-B5A7-4980F6A80E53}">
    <text>Take from PC 159</text>
  </threadedComment>
  <threadedComment ref="S9" dT="2023-05-08T10:07:25.85" personId="{74082C77-C20E-4C04-997B-209B94FC2492}" id="{1E9980EF-FC7C-4A6E-A424-159704335334}">
    <text>Take from PC 159</text>
  </threadedComment>
  <threadedComment ref="S10" dT="2023-05-08T10:07:25.85" personId="{74082C77-C20E-4C04-997B-209B94FC2492}" id="{C19A0FA6-DA8E-401C-AE07-B9D2A22E786D}">
    <text>Take from PC 159</text>
  </threadedComment>
  <threadedComment ref="S11" dT="2023-05-08T10:07:25.85" personId="{74082C77-C20E-4C04-997B-209B94FC2492}" id="{41C65C37-1DAA-4A73-90C2-6EC0C2F80CE2}">
    <text>Take from PC 159</text>
  </threadedComment>
  <threadedComment ref="S12" dT="2023-05-08T10:07:25.85" personId="{74082C77-C20E-4C04-997B-209B94FC2492}" id="{B7D3A750-1D85-42B9-896F-72A5752A8B9F}">
    <text>Take from PC 159</text>
  </threadedComment>
  <threadedComment ref="S13" dT="2023-05-08T10:07:25.85" personId="{74082C77-C20E-4C04-997B-209B94FC2492}" id="{977986A9-D887-475D-8516-BDDE630C71AD}">
    <text>Take from PC 159</text>
  </threadedComment>
  <threadedComment ref="S14" dT="2023-05-08T10:07:25.85" personId="{74082C77-C20E-4C04-997B-209B94FC2492}" id="{777D9BD4-F961-4B6B-B318-A9CEB5802BAC}">
    <text>Take from PC 159</text>
  </threadedComment>
  <threadedComment ref="S15" dT="2023-05-08T10:07:25.85" personId="{74082C77-C20E-4C04-997B-209B94FC2492}" id="{9EDDEF99-B1C2-4807-858E-8E3AAB2AEF50}">
    <text>Take from PC 159</text>
  </threadedComment>
  <threadedComment ref="S16" dT="2023-05-08T10:07:25.85" personId="{74082C77-C20E-4C04-997B-209B94FC2492}" id="{E06C1ED2-B9D3-43BB-A4AE-5D1735706240}">
    <text>Take from PC 159</text>
  </threadedComment>
  <threadedComment ref="S17" dT="2023-05-08T10:07:25.85" personId="{74082C77-C20E-4C04-997B-209B94FC2492}" id="{E9AC8A18-2805-4419-9C6B-DEC0E2BED2FD}">
    <text>Take from PC 159</text>
  </threadedComment>
  <threadedComment ref="S18" dT="2023-05-08T10:07:25.85" personId="{74082C77-C20E-4C04-997B-209B94FC2492}" id="{CD445A6B-7454-435D-A403-43B77417B03B}">
    <text>Take from PC 159</text>
  </threadedComment>
  <threadedComment ref="S19" dT="2023-05-08T10:07:25.85" personId="{74082C77-C20E-4C04-997B-209B94FC2492}" id="{ECEB872F-E8E5-4087-BCC7-575258B1D157}">
    <text>Take from PC 159</text>
  </threadedComment>
  <threadedComment ref="S20" dT="2023-05-08T10:07:25.85" personId="{74082C77-C20E-4C04-997B-209B94FC2492}" id="{7FEBDFE1-4153-4BEF-AC44-1F546149FC1A}">
    <text>Take from PC 159</text>
  </threadedComment>
  <threadedComment ref="S21" dT="2023-05-08T10:07:25.85" personId="{74082C77-C20E-4C04-997B-209B94FC2492}" id="{09E93FE8-FE18-4719-B9F2-E403D9012FCE}">
    <text>Take from PC 159</text>
  </threadedComment>
  <threadedComment ref="S22" dT="2023-05-08T10:07:25.85" personId="{74082C77-C20E-4C04-997B-209B94FC2492}" id="{A083703C-6E4D-4BF0-8643-96632D44A72E}">
    <text>Take from PC 159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AD127"/>
  <sheetViews>
    <sheetView view="pageBreakPreview" zoomScale="97" zoomScaleNormal="91" workbookViewId="0">
      <pane xSplit="7" ySplit="1" topLeftCell="R54" activePane="bottomRight" state="frozen"/>
      <selection pane="topRight"/>
      <selection pane="bottomLeft"/>
      <selection pane="bottomRight" activeCell="G65" sqref="G65"/>
    </sheetView>
  </sheetViews>
  <sheetFormatPr defaultColWidth="9.140625" defaultRowHeight="18.95" customHeight="1"/>
  <cols>
    <col min="1" max="1" width="12.42578125" style="2" customWidth="1"/>
    <col min="2" max="2" width="13.42578125" style="128" customWidth="1"/>
    <col min="3" max="3" width="15.85546875" style="2" bestFit="1" customWidth="1"/>
    <col min="4" max="4" width="14.85546875" style="2" customWidth="1"/>
    <col min="5" max="5" width="28.28515625" style="14" customWidth="1"/>
    <col min="6" max="6" width="14" style="2" customWidth="1"/>
    <col min="7" max="7" width="35.140625" style="2" customWidth="1"/>
    <col min="8" max="9" width="30.85546875" style="2" customWidth="1"/>
    <col min="10" max="10" width="12.5703125" style="2" customWidth="1"/>
    <col min="11" max="11" width="18.28515625" style="2" bestFit="1" customWidth="1"/>
    <col min="12" max="12" width="17.42578125" style="128" bestFit="1" customWidth="1"/>
    <col min="13" max="13" width="17.42578125" style="128" customWidth="1"/>
    <col min="14" max="14" width="21.85546875" style="14" bestFit="1" customWidth="1"/>
    <col min="15" max="15" width="22.7109375" style="2" customWidth="1"/>
    <col min="16" max="16" width="12.7109375" style="3" customWidth="1"/>
    <col min="17" max="17" width="43" style="3" customWidth="1"/>
    <col min="18" max="18" width="22.85546875" style="2" customWidth="1"/>
    <col min="19" max="19" width="31" style="2" customWidth="1"/>
    <col min="20" max="20" width="14" style="2" customWidth="1"/>
    <col min="21" max="21" width="20.5703125" style="2" customWidth="1"/>
    <col min="22" max="22" width="23.28515625" style="2" customWidth="1"/>
    <col min="23" max="23" width="16.42578125" style="2" customWidth="1"/>
    <col min="24" max="24" width="48.7109375" style="2" customWidth="1"/>
    <col min="25" max="25" width="50.85546875" style="2" customWidth="1"/>
    <col min="26" max="26" width="24.7109375" style="2" customWidth="1"/>
    <col min="27" max="27" width="26.28515625" style="2" customWidth="1"/>
    <col min="28" max="28" width="20.7109375" style="2" customWidth="1"/>
    <col min="29" max="29" width="14.85546875" style="14" customWidth="1"/>
    <col min="30" max="30" width="18.140625" style="4" customWidth="1"/>
    <col min="31" max="31" width="16.28515625" style="2" customWidth="1"/>
    <col min="32" max="16384" width="9.140625" style="2"/>
  </cols>
  <sheetData>
    <row r="1" spans="1:29" s="82" customFormat="1" ht="18.75" customHeight="1">
      <c r="A1" s="195" t="s">
        <v>0</v>
      </c>
      <c r="B1" s="156" t="s">
        <v>1</v>
      </c>
      <c r="C1" s="156" t="s">
        <v>2</v>
      </c>
      <c r="D1" s="210" t="s">
        <v>3</v>
      </c>
      <c r="E1" s="181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7" t="s">
        <v>11</v>
      </c>
      <c r="M1" s="157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8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83" t="s">
        <v>26</v>
      </c>
      <c r="AB1" s="183" t="s">
        <v>27</v>
      </c>
      <c r="AC1" s="215" t="s">
        <v>28</v>
      </c>
    </row>
    <row r="2" spans="1:29" s="176" customFormat="1" ht="15" hidden="1" customHeight="1">
      <c r="A2" s="5" t="s">
        <v>29</v>
      </c>
      <c r="B2" s="1">
        <v>133</v>
      </c>
      <c r="C2" s="1"/>
      <c r="D2" s="6" t="s">
        <v>30</v>
      </c>
      <c r="E2" s="4" t="s">
        <v>31</v>
      </c>
      <c r="F2" s="1" t="s">
        <v>32</v>
      </c>
      <c r="G2" s="211" t="s">
        <v>33</v>
      </c>
      <c r="H2" s="211"/>
      <c r="I2" s="211"/>
      <c r="J2" s="1" t="s">
        <v>34</v>
      </c>
      <c r="K2" s="1" t="s">
        <v>35</v>
      </c>
      <c r="L2" s="135">
        <v>2015</v>
      </c>
      <c r="M2" s="135"/>
      <c r="N2" s="1" t="s">
        <v>36</v>
      </c>
      <c r="O2" s="5" t="s">
        <v>37</v>
      </c>
      <c r="P2" s="129" t="s">
        <v>38</v>
      </c>
      <c r="Q2" s="129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30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4"/>
      <c r="AB2" s="4"/>
      <c r="AC2" s="1"/>
    </row>
    <row r="3" spans="1:29" s="5" customFormat="1" ht="15" hidden="1" customHeight="1">
      <c r="A3" s="5" t="s">
        <v>29</v>
      </c>
      <c r="B3" s="172">
        <v>153</v>
      </c>
      <c r="C3" s="172"/>
      <c r="D3" s="203" t="s">
        <v>49</v>
      </c>
      <c r="E3" s="182" t="s">
        <v>50</v>
      </c>
      <c r="F3" s="172" t="s">
        <v>51</v>
      </c>
      <c r="G3" s="211" t="s">
        <v>52</v>
      </c>
      <c r="H3" s="211"/>
      <c r="I3" s="211"/>
      <c r="J3" s="172" t="s">
        <v>34</v>
      </c>
      <c r="K3" s="172" t="s">
        <v>53</v>
      </c>
      <c r="L3" s="173">
        <v>42705</v>
      </c>
      <c r="M3" s="173"/>
      <c r="N3" s="172" t="s">
        <v>54</v>
      </c>
      <c r="O3" s="172" t="s">
        <v>55</v>
      </c>
      <c r="P3" s="174" t="s">
        <v>56</v>
      </c>
      <c r="Q3" s="174" t="s">
        <v>57</v>
      </c>
      <c r="R3" s="172" t="s">
        <v>58</v>
      </c>
      <c r="S3" s="171" t="s">
        <v>59</v>
      </c>
      <c r="T3" s="175" t="s">
        <v>60</v>
      </c>
      <c r="U3" s="172" t="s">
        <v>61</v>
      </c>
      <c r="V3" s="175" t="s">
        <v>62</v>
      </c>
      <c r="W3" s="172" t="s">
        <v>45</v>
      </c>
      <c r="X3" s="172"/>
      <c r="Y3" s="172"/>
      <c r="Z3" s="172" t="s">
        <v>48</v>
      </c>
      <c r="AA3" s="182"/>
      <c r="AB3" s="4"/>
      <c r="AC3" s="1"/>
    </row>
    <row r="4" spans="1:29" s="5" customFormat="1" ht="15" hidden="1" customHeight="1">
      <c r="A4" s="5" t="s">
        <v>29</v>
      </c>
      <c r="B4" s="1">
        <v>179</v>
      </c>
      <c r="C4" s="1"/>
      <c r="D4" s="203" t="s">
        <v>30</v>
      </c>
      <c r="E4" s="4" t="s">
        <v>31</v>
      </c>
      <c r="F4" s="5" t="s">
        <v>32</v>
      </c>
      <c r="G4" s="212" t="s">
        <v>63</v>
      </c>
      <c r="H4" s="212"/>
      <c r="I4" s="212"/>
      <c r="J4" s="1" t="s">
        <v>34</v>
      </c>
      <c r="K4" s="5" t="s">
        <v>64</v>
      </c>
      <c r="L4" s="135">
        <v>42826</v>
      </c>
      <c r="M4" s="135"/>
      <c r="N4" s="5" t="s">
        <v>65</v>
      </c>
      <c r="O4" s="5" t="s">
        <v>66</v>
      </c>
      <c r="P4" s="5" t="s">
        <v>38</v>
      </c>
      <c r="Q4" s="5" t="s">
        <v>67</v>
      </c>
      <c r="R4" s="5" t="s">
        <v>68</v>
      </c>
      <c r="S4" s="5" t="s">
        <v>59</v>
      </c>
      <c r="T4" s="5" t="s">
        <v>69</v>
      </c>
      <c r="U4" s="5" t="s">
        <v>70</v>
      </c>
      <c r="V4" s="130" t="s">
        <v>62</v>
      </c>
      <c r="W4" s="1" t="s">
        <v>45</v>
      </c>
      <c r="X4" s="1"/>
      <c r="Z4" s="5" t="s">
        <v>48</v>
      </c>
      <c r="AA4" s="4"/>
      <c r="AB4" s="4"/>
      <c r="AC4" s="1"/>
    </row>
    <row r="5" spans="1:29" s="5" customFormat="1" ht="15" hidden="1" customHeight="1">
      <c r="A5" s="5" t="s">
        <v>71</v>
      </c>
      <c r="B5" s="1">
        <v>180</v>
      </c>
      <c r="C5" s="1"/>
      <c r="D5" s="203" t="s">
        <v>30</v>
      </c>
      <c r="E5" s="4" t="s">
        <v>31</v>
      </c>
      <c r="F5" s="1" t="s">
        <v>32</v>
      </c>
      <c r="G5" s="211" t="s">
        <v>72</v>
      </c>
      <c r="H5" s="211"/>
      <c r="I5" s="211"/>
      <c r="J5" s="1" t="s">
        <v>34</v>
      </c>
      <c r="K5" s="5" t="s">
        <v>73</v>
      </c>
      <c r="L5" s="135">
        <v>43070</v>
      </c>
      <c r="M5" s="135"/>
      <c r="N5" s="152" t="s">
        <v>74</v>
      </c>
      <c r="Q5" s="129" t="s">
        <v>75</v>
      </c>
      <c r="S5" s="5" t="s">
        <v>59</v>
      </c>
      <c r="AA5" s="4"/>
      <c r="AB5" s="4"/>
      <c r="AC5" s="1"/>
    </row>
    <row r="6" spans="1:29" s="273" customFormat="1" ht="15" hidden="1" customHeight="1">
      <c r="A6" s="273" t="s">
        <v>29</v>
      </c>
      <c r="B6" s="274">
        <v>192</v>
      </c>
      <c r="C6" s="274"/>
      <c r="D6" s="273" t="s">
        <v>76</v>
      </c>
      <c r="E6" s="275"/>
      <c r="F6" s="273" t="s">
        <v>32</v>
      </c>
      <c r="G6" s="273" t="s">
        <v>77</v>
      </c>
      <c r="I6" s="273" t="s">
        <v>78</v>
      </c>
      <c r="J6" s="274" t="s">
        <v>34</v>
      </c>
      <c r="K6" s="273" t="s">
        <v>79</v>
      </c>
      <c r="L6" s="276">
        <v>42976</v>
      </c>
      <c r="M6" s="276"/>
      <c r="N6" s="273" t="s">
        <v>80</v>
      </c>
      <c r="O6" s="273" t="s">
        <v>81</v>
      </c>
      <c r="P6" s="273" t="s">
        <v>38</v>
      </c>
      <c r="Q6" s="277" t="s">
        <v>82</v>
      </c>
      <c r="R6" s="273" t="s">
        <v>83</v>
      </c>
      <c r="S6" s="273" t="s">
        <v>59</v>
      </c>
      <c r="T6" s="273" t="s">
        <v>84</v>
      </c>
      <c r="U6" s="273" t="s">
        <v>85</v>
      </c>
      <c r="V6" s="273" t="s">
        <v>86</v>
      </c>
      <c r="W6" s="273" t="s">
        <v>87</v>
      </c>
      <c r="X6" s="273" t="s">
        <v>88</v>
      </c>
      <c r="Y6" s="273" t="s">
        <v>89</v>
      </c>
      <c r="Z6" s="273" t="s">
        <v>48</v>
      </c>
      <c r="AA6" s="275">
        <v>1413684043</v>
      </c>
      <c r="AB6" s="275"/>
      <c r="AC6" s="274"/>
    </row>
    <row r="7" spans="1:29" s="273" customFormat="1" ht="15" hidden="1" customHeight="1">
      <c r="A7" s="290"/>
      <c r="B7" s="1"/>
      <c r="C7" s="39"/>
      <c r="E7" s="1"/>
      <c r="F7" s="291"/>
      <c r="G7" s="290"/>
      <c r="H7" s="242"/>
      <c r="I7" s="263"/>
      <c r="J7" s="291"/>
      <c r="K7" s="290"/>
      <c r="L7" s="292"/>
      <c r="M7" s="245"/>
      <c r="N7" s="291"/>
      <c r="O7" s="264"/>
      <c r="P7" s="302"/>
      <c r="Q7" s="302"/>
      <c r="R7" s="290"/>
      <c r="S7" s="290"/>
      <c r="T7" s="291"/>
      <c r="U7" s="291"/>
      <c r="V7" s="293"/>
      <c r="W7" s="291"/>
      <c r="X7" s="291"/>
      <c r="Y7" s="291"/>
      <c r="Z7" s="291"/>
      <c r="AA7" s="294"/>
      <c r="AB7" s="294"/>
      <c r="AC7" s="291"/>
    </row>
    <row r="8" spans="1:29" s="176" customFormat="1" ht="15" hidden="1">
      <c r="A8" s="5" t="s">
        <v>29</v>
      </c>
      <c r="B8" s="1">
        <v>193</v>
      </c>
      <c r="C8" s="1"/>
      <c r="D8" s="22" t="s">
        <v>30</v>
      </c>
      <c r="E8" s="4"/>
      <c r="F8" s="5" t="s">
        <v>32</v>
      </c>
      <c r="G8" s="211" t="s">
        <v>90</v>
      </c>
      <c r="H8" s="211"/>
      <c r="I8" s="211"/>
      <c r="J8" s="1" t="s">
        <v>34</v>
      </c>
      <c r="K8" s="5" t="s">
        <v>91</v>
      </c>
      <c r="L8" s="135">
        <v>43020</v>
      </c>
      <c r="M8" s="135"/>
      <c r="N8" s="5" t="s">
        <v>92</v>
      </c>
      <c r="O8" s="5" t="s">
        <v>93</v>
      </c>
      <c r="P8" s="5" t="s">
        <v>94</v>
      </c>
      <c r="Q8" s="5" t="s">
        <v>95</v>
      </c>
      <c r="R8" s="5" t="s">
        <v>96</v>
      </c>
      <c r="S8" s="5" t="s">
        <v>59</v>
      </c>
      <c r="T8" s="150" t="s">
        <v>97</v>
      </c>
      <c r="U8" s="5" t="s">
        <v>85</v>
      </c>
      <c r="V8" s="5" t="s">
        <v>86</v>
      </c>
      <c r="W8" s="5" t="s">
        <v>98</v>
      </c>
      <c r="X8" s="5"/>
      <c r="Y8" s="5"/>
      <c r="Z8" s="5" t="s">
        <v>48</v>
      </c>
      <c r="AA8" s="4"/>
      <c r="AB8" s="4"/>
      <c r="AC8" s="1"/>
    </row>
    <row r="9" spans="1:29" s="5" customFormat="1" ht="15" hidden="1" customHeight="1">
      <c r="A9" s="5" t="s">
        <v>29</v>
      </c>
      <c r="B9" s="172">
        <v>195</v>
      </c>
      <c r="C9" s="172"/>
      <c r="D9" s="203" t="s">
        <v>30</v>
      </c>
      <c r="E9" s="4" t="s">
        <v>31</v>
      </c>
      <c r="F9" s="171" t="s">
        <v>32</v>
      </c>
      <c r="G9" s="211" t="s">
        <v>99</v>
      </c>
      <c r="H9" s="211"/>
      <c r="I9" s="211"/>
      <c r="J9" s="172" t="s">
        <v>34</v>
      </c>
      <c r="K9" s="171" t="s">
        <v>100</v>
      </c>
      <c r="L9" s="173">
        <v>43177</v>
      </c>
      <c r="M9" s="173"/>
      <c r="N9" s="171" t="s">
        <v>101</v>
      </c>
      <c r="O9" s="171" t="s">
        <v>102</v>
      </c>
      <c r="P9" s="171" t="s">
        <v>38</v>
      </c>
      <c r="Q9" s="171" t="s">
        <v>103</v>
      </c>
      <c r="R9" s="171" t="s">
        <v>104</v>
      </c>
      <c r="S9" s="171" t="s">
        <v>59</v>
      </c>
      <c r="T9" s="171" t="s">
        <v>105</v>
      </c>
      <c r="U9" s="171" t="s">
        <v>106</v>
      </c>
      <c r="V9" s="171" t="s">
        <v>107</v>
      </c>
      <c r="W9" s="171" t="s">
        <v>45</v>
      </c>
      <c r="X9" s="171" t="s">
        <v>88</v>
      </c>
      <c r="Y9" s="171" t="s">
        <v>108</v>
      </c>
      <c r="Z9" s="171" t="s">
        <v>48</v>
      </c>
      <c r="AA9" s="182"/>
      <c r="AB9" s="4"/>
      <c r="AC9" s="1"/>
    </row>
    <row r="10" spans="1:29" s="5" customFormat="1" ht="15" hidden="1" customHeight="1">
      <c r="A10" s="5" t="s">
        <v>29</v>
      </c>
      <c r="B10" s="1">
        <v>196</v>
      </c>
      <c r="C10" s="1"/>
      <c r="D10" s="22" t="s">
        <v>30</v>
      </c>
      <c r="E10" s="4"/>
      <c r="F10" s="5" t="s">
        <v>32</v>
      </c>
      <c r="G10" s="211" t="s">
        <v>109</v>
      </c>
      <c r="H10" s="211"/>
      <c r="I10" s="211"/>
      <c r="J10" s="1" t="s">
        <v>34</v>
      </c>
      <c r="K10" s="1" t="s">
        <v>110</v>
      </c>
      <c r="L10" s="135">
        <v>43191</v>
      </c>
      <c r="M10" s="135"/>
      <c r="N10" s="5" t="s">
        <v>111</v>
      </c>
      <c r="O10" s="5" t="s">
        <v>112</v>
      </c>
      <c r="P10" s="5" t="s">
        <v>38</v>
      </c>
      <c r="Q10" s="5" t="s">
        <v>103</v>
      </c>
      <c r="R10" s="5" t="s">
        <v>113</v>
      </c>
      <c r="S10" s="5" t="s">
        <v>59</v>
      </c>
      <c r="T10" s="5" t="s">
        <v>114</v>
      </c>
      <c r="U10" s="5" t="s">
        <v>106</v>
      </c>
      <c r="V10" s="5" t="s">
        <v>107</v>
      </c>
      <c r="W10" s="5" t="s">
        <v>45</v>
      </c>
      <c r="X10" s="5" t="s">
        <v>88</v>
      </c>
      <c r="Y10" s="178" t="s">
        <v>115</v>
      </c>
      <c r="Z10" s="5" t="s">
        <v>48</v>
      </c>
      <c r="AA10" s="4" t="s">
        <v>116</v>
      </c>
      <c r="AB10" s="4"/>
      <c r="AC10" s="1"/>
    </row>
    <row r="11" spans="1:29" s="171" customFormat="1" ht="15" hidden="1" customHeight="1">
      <c r="A11" s="5" t="s">
        <v>29</v>
      </c>
      <c r="B11" s="1">
        <v>197</v>
      </c>
      <c r="C11" s="1"/>
      <c r="D11" s="22" t="s">
        <v>76</v>
      </c>
      <c r="E11" s="4" t="s">
        <v>50</v>
      </c>
      <c r="F11" s="1" t="s">
        <v>51</v>
      </c>
      <c r="G11" s="211" t="s">
        <v>117</v>
      </c>
      <c r="H11" s="211"/>
      <c r="I11" s="211"/>
      <c r="J11" s="1" t="s">
        <v>34</v>
      </c>
      <c r="K11" s="5" t="s">
        <v>118</v>
      </c>
      <c r="L11" s="135">
        <v>43220</v>
      </c>
      <c r="M11" s="135"/>
      <c r="N11" s="5" t="s">
        <v>119</v>
      </c>
      <c r="O11" s="5" t="s">
        <v>120</v>
      </c>
      <c r="P11" s="5" t="s">
        <v>56</v>
      </c>
      <c r="Q11" s="5" t="s">
        <v>121</v>
      </c>
      <c r="R11" s="5" t="s">
        <v>122</v>
      </c>
      <c r="S11" s="5" t="s">
        <v>59</v>
      </c>
      <c r="T11" s="5" t="s">
        <v>123</v>
      </c>
      <c r="U11" s="5" t="s">
        <v>124</v>
      </c>
      <c r="V11" s="5" t="s">
        <v>62</v>
      </c>
      <c r="W11" s="5" t="s">
        <v>98</v>
      </c>
      <c r="X11" s="5" t="s">
        <v>125</v>
      </c>
      <c r="Y11" s="5" t="s">
        <v>126</v>
      </c>
      <c r="Z11" s="5" t="s">
        <v>48</v>
      </c>
      <c r="AA11" s="4" t="s">
        <v>127</v>
      </c>
      <c r="AB11" s="4"/>
      <c r="AC11" s="1"/>
    </row>
    <row r="12" spans="1:29" s="5" customFormat="1" ht="15" hidden="1" customHeight="1">
      <c r="A12" s="5" t="s">
        <v>29</v>
      </c>
      <c r="B12" s="1">
        <v>198</v>
      </c>
      <c r="C12" s="1"/>
      <c r="D12" s="22" t="s">
        <v>76</v>
      </c>
      <c r="E12" s="4" t="s">
        <v>50</v>
      </c>
      <c r="F12" s="1" t="s">
        <v>51</v>
      </c>
      <c r="G12" s="211" t="s">
        <v>128</v>
      </c>
      <c r="H12" s="211"/>
      <c r="I12" s="211"/>
      <c r="J12" s="1" t="s">
        <v>34</v>
      </c>
      <c r="K12" t="s">
        <v>91</v>
      </c>
      <c r="L12" s="135">
        <v>43220</v>
      </c>
      <c r="M12" s="135"/>
      <c r="N12" s="5" t="s">
        <v>129</v>
      </c>
      <c r="O12" s="5" t="s">
        <v>130</v>
      </c>
      <c r="P12" s="5" t="s">
        <v>56</v>
      </c>
      <c r="Q12" s="5" t="s">
        <v>121</v>
      </c>
      <c r="R12" s="5" t="s">
        <v>131</v>
      </c>
      <c r="S12" s="5" t="s">
        <v>59</v>
      </c>
      <c r="T12" s="5" t="s">
        <v>123</v>
      </c>
      <c r="U12" s="5" t="s">
        <v>124</v>
      </c>
      <c r="V12" s="5" t="s">
        <v>62</v>
      </c>
      <c r="W12" s="5" t="s">
        <v>98</v>
      </c>
      <c r="X12" s="5" t="s">
        <v>88</v>
      </c>
      <c r="Y12" s="5" t="s">
        <v>132</v>
      </c>
      <c r="Z12" s="5" t="s">
        <v>48</v>
      </c>
      <c r="AA12" s="4" t="s">
        <v>133</v>
      </c>
      <c r="AB12" s="4"/>
      <c r="AC12" s="1"/>
    </row>
    <row r="13" spans="1:29" s="40" customFormat="1" ht="15" hidden="1">
      <c r="A13" s="40" t="s">
        <v>29</v>
      </c>
      <c r="B13" s="39">
        <v>201</v>
      </c>
      <c r="C13" s="39"/>
      <c r="D13" s="40" t="s">
        <v>76</v>
      </c>
      <c r="E13" s="125" t="s">
        <v>50</v>
      </c>
      <c r="F13" s="39" t="s">
        <v>51</v>
      </c>
      <c r="G13" s="263" t="s">
        <v>134</v>
      </c>
      <c r="H13" s="263" t="s">
        <v>135</v>
      </c>
      <c r="I13" s="263"/>
      <c r="J13" s="39" t="s">
        <v>136</v>
      </c>
      <c r="K13" s="40" t="s">
        <v>53</v>
      </c>
      <c r="L13" s="278">
        <v>43220</v>
      </c>
      <c r="M13" s="278"/>
      <c r="N13" s="40" t="s">
        <v>137</v>
      </c>
      <c r="O13" s="40" t="s">
        <v>138</v>
      </c>
      <c r="P13" s="40" t="s">
        <v>56</v>
      </c>
      <c r="Q13" s="40" t="s">
        <v>121</v>
      </c>
      <c r="R13" s="40" t="s">
        <v>139</v>
      </c>
      <c r="S13" s="40" t="s">
        <v>59</v>
      </c>
      <c r="T13" s="40" t="s">
        <v>140</v>
      </c>
      <c r="U13" s="40" t="s">
        <v>124</v>
      </c>
      <c r="V13" s="40" t="s">
        <v>62</v>
      </c>
      <c r="W13" s="40" t="s">
        <v>98</v>
      </c>
      <c r="X13" s="40" t="s">
        <v>88</v>
      </c>
      <c r="Y13" s="40" t="s">
        <v>141</v>
      </c>
      <c r="Z13" s="40" t="s">
        <v>48</v>
      </c>
      <c r="AA13" s="125"/>
      <c r="AB13" s="125"/>
      <c r="AC13" s="39"/>
    </row>
    <row r="14" spans="1:29" s="5" customFormat="1" ht="15" hidden="1" customHeight="1">
      <c r="A14" s="5" t="s">
        <v>29</v>
      </c>
      <c r="B14" s="1">
        <v>202</v>
      </c>
      <c r="C14" s="1"/>
      <c r="D14" s="22" t="s">
        <v>30</v>
      </c>
      <c r="E14" s="4"/>
      <c r="F14" s="5" t="s">
        <v>32</v>
      </c>
      <c r="G14" s="211" t="s">
        <v>142</v>
      </c>
      <c r="H14" s="211"/>
      <c r="I14" s="211"/>
      <c r="J14" s="1" t="s">
        <v>34</v>
      </c>
      <c r="K14" s="1" t="s">
        <v>143</v>
      </c>
      <c r="L14" s="135">
        <v>43289</v>
      </c>
      <c r="M14" s="135"/>
      <c r="N14" s="5" t="s">
        <v>144</v>
      </c>
      <c r="O14" s="5" t="s">
        <v>145</v>
      </c>
      <c r="P14" s="5" t="s">
        <v>56</v>
      </c>
      <c r="Q14" s="5" t="s">
        <v>146</v>
      </c>
      <c r="R14" s="5" t="s">
        <v>147</v>
      </c>
      <c r="S14" s="5" t="s">
        <v>59</v>
      </c>
      <c r="T14" s="5" t="s">
        <v>148</v>
      </c>
      <c r="U14" s="5" t="s">
        <v>106</v>
      </c>
      <c r="V14" s="5" t="s">
        <v>149</v>
      </c>
      <c r="W14" s="5" t="s">
        <v>98</v>
      </c>
      <c r="X14" s="5" t="s">
        <v>88</v>
      </c>
      <c r="Y14" s="5" t="s">
        <v>150</v>
      </c>
      <c r="Z14" s="5" t="s">
        <v>48</v>
      </c>
      <c r="AA14" s="4" t="s">
        <v>151</v>
      </c>
      <c r="AB14" s="4"/>
      <c r="AC14" s="1"/>
    </row>
    <row r="15" spans="1:29" s="5" customFormat="1" ht="15" hidden="1">
      <c r="A15" s="5" t="s">
        <v>29</v>
      </c>
      <c r="B15" s="172">
        <v>203</v>
      </c>
      <c r="C15" s="172"/>
      <c r="D15" s="204" t="s">
        <v>30</v>
      </c>
      <c r="E15" s="182" t="s">
        <v>152</v>
      </c>
      <c r="F15" s="171" t="s">
        <v>32</v>
      </c>
      <c r="G15" s="211" t="s">
        <v>153</v>
      </c>
      <c r="H15" s="211"/>
      <c r="I15" s="211"/>
      <c r="J15" s="172" t="s">
        <v>34</v>
      </c>
      <c r="K15" s="171" t="s">
        <v>154</v>
      </c>
      <c r="L15" s="173">
        <v>43289</v>
      </c>
      <c r="M15" s="173"/>
      <c r="N15" s="171" t="s">
        <v>155</v>
      </c>
      <c r="O15" s="171" t="s">
        <v>156</v>
      </c>
      <c r="P15" s="171" t="s">
        <v>56</v>
      </c>
      <c r="Q15" s="171" t="s">
        <v>146</v>
      </c>
      <c r="R15" s="171" t="s">
        <v>157</v>
      </c>
      <c r="S15" s="171" t="s">
        <v>59</v>
      </c>
      <c r="T15" s="171" t="s">
        <v>158</v>
      </c>
      <c r="U15" s="171" t="s">
        <v>106</v>
      </c>
      <c r="V15" s="171" t="s">
        <v>149</v>
      </c>
      <c r="W15" s="171" t="s">
        <v>98</v>
      </c>
      <c r="X15" s="171" t="s">
        <v>88</v>
      </c>
      <c r="Y15" s="171" t="s">
        <v>159</v>
      </c>
      <c r="Z15" s="171" t="s">
        <v>48</v>
      </c>
      <c r="AA15" s="182" t="s">
        <v>160</v>
      </c>
      <c r="AB15" s="4"/>
      <c r="AC15" s="1"/>
    </row>
    <row r="16" spans="1:29" s="171" customFormat="1" ht="15" hidden="1" customHeight="1">
      <c r="A16" s="5" t="s">
        <v>29</v>
      </c>
      <c r="B16" s="1">
        <v>205</v>
      </c>
      <c r="C16" s="1"/>
      <c r="D16" s="5" t="s">
        <v>30</v>
      </c>
      <c r="E16" s="4"/>
      <c r="F16" s="1" t="s">
        <v>32</v>
      </c>
      <c r="G16" s="211" t="s">
        <v>161</v>
      </c>
      <c r="H16" s="211"/>
      <c r="I16" s="211"/>
      <c r="J16" s="1" t="s">
        <v>34</v>
      </c>
      <c r="K16" s="1" t="s">
        <v>110</v>
      </c>
      <c r="L16" s="135">
        <v>43396</v>
      </c>
      <c r="M16" s="135"/>
      <c r="N16" s="5" t="s">
        <v>162</v>
      </c>
      <c r="O16" s="5" t="s">
        <v>163</v>
      </c>
      <c r="P16" s="5" t="s">
        <v>38</v>
      </c>
      <c r="Q16" s="5" t="s">
        <v>103</v>
      </c>
      <c r="R16" s="5" t="s">
        <v>164</v>
      </c>
      <c r="S16" s="5" t="s">
        <v>59</v>
      </c>
      <c r="T16" s="5" t="s">
        <v>165</v>
      </c>
      <c r="U16" s="5" t="s">
        <v>70</v>
      </c>
      <c r="V16" s="5" t="s">
        <v>62</v>
      </c>
      <c r="W16" s="5" t="s">
        <v>87</v>
      </c>
      <c r="X16" s="5" t="s">
        <v>88</v>
      </c>
      <c r="Y16" s="5"/>
      <c r="Z16" s="5" t="s">
        <v>48</v>
      </c>
      <c r="AA16" s="4"/>
      <c r="AB16" s="4"/>
      <c r="AC16" s="1"/>
    </row>
    <row r="17" spans="1:29" s="5" customFormat="1" ht="15" hidden="1" customHeight="1">
      <c r="A17" s="5" t="s">
        <v>29</v>
      </c>
      <c r="B17" s="1">
        <v>207</v>
      </c>
      <c r="C17" s="1"/>
      <c r="D17" s="5" t="s">
        <v>49</v>
      </c>
      <c r="E17" s="4" t="s">
        <v>50</v>
      </c>
      <c r="F17" s="1" t="s">
        <v>51</v>
      </c>
      <c r="G17" s="211" t="s">
        <v>166</v>
      </c>
      <c r="H17" s="211"/>
      <c r="I17" s="211"/>
      <c r="J17" s="1" t="s">
        <v>34</v>
      </c>
      <c r="K17" s="5" t="s">
        <v>53</v>
      </c>
      <c r="L17" s="135">
        <v>43474</v>
      </c>
      <c r="M17" s="135"/>
      <c r="N17" s="5" t="s">
        <v>167</v>
      </c>
      <c r="O17" s="5" t="s">
        <v>168</v>
      </c>
      <c r="P17" s="5" t="s">
        <v>56</v>
      </c>
      <c r="Q17" s="5" t="s">
        <v>169</v>
      </c>
      <c r="R17" s="5" t="s">
        <v>170</v>
      </c>
      <c r="S17" s="5" t="s">
        <v>59</v>
      </c>
      <c r="T17" s="5" t="s">
        <v>171</v>
      </c>
      <c r="U17" s="5" t="s">
        <v>172</v>
      </c>
      <c r="V17" s="5" t="s">
        <v>62</v>
      </c>
      <c r="W17" s="5" t="s">
        <v>98</v>
      </c>
      <c r="X17" s="5" t="s">
        <v>88</v>
      </c>
      <c r="Y17" s="5" t="s">
        <v>173</v>
      </c>
      <c r="Z17" s="5" t="s">
        <v>48</v>
      </c>
      <c r="AA17" s="4"/>
      <c r="AB17" s="4"/>
      <c r="AC17" s="1"/>
    </row>
    <row r="18" spans="1:29" s="5" customFormat="1" ht="15" hidden="1" customHeight="1">
      <c r="A18" s="5" t="s">
        <v>29</v>
      </c>
      <c r="B18" s="1">
        <v>209</v>
      </c>
      <c r="C18" s="1"/>
      <c r="D18" s="5" t="s">
        <v>49</v>
      </c>
      <c r="E18" s="4" t="s">
        <v>50</v>
      </c>
      <c r="F18" s="1" t="s">
        <v>51</v>
      </c>
      <c r="G18" s="211" t="s">
        <v>174</v>
      </c>
      <c r="H18" s="211"/>
      <c r="I18" s="211"/>
      <c r="J18" s="1" t="s">
        <v>34</v>
      </c>
      <c r="K18" s="5" t="s">
        <v>73</v>
      </c>
      <c r="L18" s="135" t="s">
        <v>48</v>
      </c>
      <c r="M18" s="135"/>
      <c r="N18" s="5" t="s">
        <v>175</v>
      </c>
      <c r="O18" s="5" t="s">
        <v>176</v>
      </c>
      <c r="P18" s="5" t="s">
        <v>177</v>
      </c>
      <c r="Q18" s="5" t="s">
        <v>178</v>
      </c>
      <c r="R18" s="5" t="s">
        <v>179</v>
      </c>
      <c r="S18" s="5" t="s">
        <v>59</v>
      </c>
      <c r="Z18" s="5" t="s">
        <v>48</v>
      </c>
      <c r="AA18" s="4"/>
      <c r="AB18" s="4"/>
      <c r="AC18" s="1"/>
    </row>
    <row r="19" spans="1:29" s="5" customFormat="1" ht="15" hidden="1" customHeight="1">
      <c r="A19" s="5" t="s">
        <v>29</v>
      </c>
      <c r="B19" s="1">
        <v>211</v>
      </c>
      <c r="C19" s="1"/>
      <c r="D19" s="5" t="s">
        <v>30</v>
      </c>
      <c r="E19" s="4"/>
      <c r="F19" s="5" t="s">
        <v>32</v>
      </c>
      <c r="G19" s="211" t="s">
        <v>180</v>
      </c>
      <c r="H19" s="211"/>
      <c r="I19" s="211"/>
      <c r="J19" s="1" t="s">
        <v>34</v>
      </c>
      <c r="K19" s="5" t="s">
        <v>181</v>
      </c>
      <c r="L19" s="135">
        <v>43517</v>
      </c>
      <c r="M19" s="135"/>
      <c r="N19" s="5" t="s">
        <v>182</v>
      </c>
      <c r="O19" s="5" t="s">
        <v>183</v>
      </c>
      <c r="P19" s="5" t="s">
        <v>38</v>
      </c>
      <c r="Q19" s="5" t="s">
        <v>103</v>
      </c>
      <c r="R19" s="5" t="s">
        <v>184</v>
      </c>
      <c r="S19" s="5" t="s">
        <v>59</v>
      </c>
      <c r="T19" s="5" t="s">
        <v>171</v>
      </c>
      <c r="U19" s="5" t="s">
        <v>172</v>
      </c>
      <c r="V19" s="5" t="s">
        <v>62</v>
      </c>
      <c r="W19" s="5" t="s">
        <v>45</v>
      </c>
      <c r="X19" s="151" t="s">
        <v>88</v>
      </c>
      <c r="Y19" s="151" t="s">
        <v>185</v>
      </c>
      <c r="Z19" s="5" t="s">
        <v>48</v>
      </c>
      <c r="AA19" s="4">
        <v>1089460053</v>
      </c>
      <c r="AB19" s="4"/>
      <c r="AC19" s="1"/>
    </row>
    <row r="20" spans="1:29" s="5" customFormat="1" ht="15" hidden="1" customHeight="1">
      <c r="A20" s="5" t="s">
        <v>29</v>
      </c>
      <c r="B20" s="1">
        <v>212</v>
      </c>
      <c r="C20" s="1"/>
      <c r="D20" s="5" t="s">
        <v>30</v>
      </c>
      <c r="E20" s="4"/>
      <c r="F20" s="1" t="s">
        <v>32</v>
      </c>
      <c r="G20" s="211" t="s">
        <v>186</v>
      </c>
      <c r="H20" s="211"/>
      <c r="I20" s="211"/>
      <c r="J20" s="1" t="s">
        <v>34</v>
      </c>
      <c r="K20" s="5" t="s">
        <v>35</v>
      </c>
      <c r="L20" s="135">
        <v>43517</v>
      </c>
      <c r="M20" s="135"/>
      <c r="N20" s="5" t="s">
        <v>187</v>
      </c>
      <c r="O20" s="5" t="s">
        <v>188</v>
      </c>
      <c r="P20" s="5" t="s">
        <v>38</v>
      </c>
      <c r="Q20" s="5" t="s">
        <v>103</v>
      </c>
      <c r="R20" s="5" t="s">
        <v>189</v>
      </c>
      <c r="S20" s="5" t="s">
        <v>59</v>
      </c>
      <c r="T20" s="5" t="s">
        <v>171</v>
      </c>
      <c r="U20" s="5" t="s">
        <v>172</v>
      </c>
      <c r="V20" s="5" t="s">
        <v>62</v>
      </c>
      <c r="W20" s="5" t="s">
        <v>45</v>
      </c>
      <c r="X20" s="5" t="s">
        <v>88</v>
      </c>
      <c r="Y20" s="5" t="s">
        <v>190</v>
      </c>
      <c r="Z20" s="5" t="s">
        <v>48</v>
      </c>
      <c r="AA20" s="4">
        <v>1403897642</v>
      </c>
      <c r="AB20" s="4"/>
      <c r="AC20" s="1"/>
    </row>
    <row r="21" spans="1:29" s="5" customFormat="1" ht="15" hidden="1" customHeight="1">
      <c r="A21" s="5" t="s">
        <v>29</v>
      </c>
      <c r="B21" s="172">
        <v>213</v>
      </c>
      <c r="C21" s="172"/>
      <c r="D21" s="171" t="s">
        <v>30</v>
      </c>
      <c r="E21" s="182"/>
      <c r="F21" s="172" t="s">
        <v>32</v>
      </c>
      <c r="G21" s="211" t="s">
        <v>191</v>
      </c>
      <c r="H21" s="211"/>
      <c r="I21" s="211"/>
      <c r="J21" s="172" t="s">
        <v>34</v>
      </c>
      <c r="K21" s="171" t="s">
        <v>35</v>
      </c>
      <c r="L21" s="173">
        <v>43542</v>
      </c>
      <c r="M21" s="173"/>
      <c r="N21" s="171" t="s">
        <v>192</v>
      </c>
      <c r="O21" s="171" t="s">
        <v>193</v>
      </c>
      <c r="P21" s="171" t="s">
        <v>38</v>
      </c>
      <c r="Q21" s="171" t="s">
        <v>194</v>
      </c>
      <c r="R21" s="171" t="s">
        <v>195</v>
      </c>
      <c r="S21" s="171" t="s">
        <v>59</v>
      </c>
      <c r="T21" s="171" t="s">
        <v>196</v>
      </c>
      <c r="U21" s="171" t="s">
        <v>172</v>
      </c>
      <c r="V21" s="171" t="s">
        <v>86</v>
      </c>
      <c r="W21" s="171" t="s">
        <v>45</v>
      </c>
      <c r="X21" s="171" t="s">
        <v>88</v>
      </c>
      <c r="Y21" s="179" t="s">
        <v>197</v>
      </c>
      <c r="Z21" s="171" t="s">
        <v>48</v>
      </c>
      <c r="AA21" s="182"/>
      <c r="AB21" s="182"/>
      <c r="AC21" s="1"/>
    </row>
    <row r="22" spans="1:29" s="171" customFormat="1" ht="15" hidden="1" customHeight="1">
      <c r="A22" s="5" t="s">
        <v>29</v>
      </c>
      <c r="B22" s="1">
        <v>214</v>
      </c>
      <c r="C22" s="1"/>
      <c r="D22" s="171" t="s">
        <v>30</v>
      </c>
      <c r="E22" s="182" t="s">
        <v>31</v>
      </c>
      <c r="F22" s="5" t="s">
        <v>32</v>
      </c>
      <c r="G22" s="211" t="s">
        <v>198</v>
      </c>
      <c r="H22" s="211"/>
      <c r="I22" s="211"/>
      <c r="J22" s="1" t="s">
        <v>34</v>
      </c>
      <c r="K22" s="5" t="s">
        <v>199</v>
      </c>
      <c r="L22" s="135">
        <v>43581</v>
      </c>
      <c r="M22" s="135"/>
      <c r="N22" s="5" t="s">
        <v>200</v>
      </c>
      <c r="O22" s="5" t="s">
        <v>201</v>
      </c>
      <c r="P22" s="5" t="s">
        <v>56</v>
      </c>
      <c r="Q22" s="5" t="s">
        <v>202</v>
      </c>
      <c r="R22" s="5" t="s">
        <v>203</v>
      </c>
      <c r="S22" s="5" t="s">
        <v>59</v>
      </c>
      <c r="T22" s="5" t="s">
        <v>171</v>
      </c>
      <c r="U22" s="5" t="s">
        <v>204</v>
      </c>
      <c r="V22" s="5" t="s">
        <v>86</v>
      </c>
      <c r="W22" s="5" t="s">
        <v>45</v>
      </c>
      <c r="X22" s="5" t="s">
        <v>205</v>
      </c>
      <c r="Y22" s="5" t="s">
        <v>206</v>
      </c>
      <c r="Z22" s="5" t="s">
        <v>48</v>
      </c>
      <c r="AA22" s="4"/>
      <c r="AB22" s="4"/>
      <c r="AC22" s="1"/>
    </row>
    <row r="23" spans="1:29" s="265" customFormat="1" ht="15" hidden="1" customHeight="1">
      <c r="A23" s="264" t="s">
        <v>29</v>
      </c>
      <c r="B23" s="39">
        <v>218</v>
      </c>
      <c r="C23" s="39"/>
      <c r="D23" s="265" t="s">
        <v>76</v>
      </c>
      <c r="E23" s="39"/>
      <c r="F23" s="266" t="s">
        <v>51</v>
      </c>
      <c r="G23" s="264" t="s">
        <v>207</v>
      </c>
      <c r="H23" s="267"/>
      <c r="I23" s="263" t="s">
        <v>208</v>
      </c>
      <c r="J23" s="266" t="s">
        <v>34</v>
      </c>
      <c r="K23" s="264" t="s">
        <v>209</v>
      </c>
      <c r="L23" s="268"/>
      <c r="M23" s="268"/>
      <c r="N23" s="266"/>
      <c r="O23" s="264"/>
      <c r="P23" s="269" t="s">
        <v>38</v>
      </c>
      <c r="Q23" s="269" t="s">
        <v>210</v>
      </c>
      <c r="R23" s="264"/>
      <c r="S23" s="264" t="s">
        <v>41</v>
      </c>
      <c r="T23" s="266"/>
      <c r="U23" s="266" t="s">
        <v>211</v>
      </c>
      <c r="V23" s="270" t="s">
        <v>86</v>
      </c>
      <c r="W23" s="266" t="s">
        <v>45</v>
      </c>
      <c r="X23" s="266" t="s">
        <v>88</v>
      </c>
      <c r="Y23" s="266" t="s">
        <v>212</v>
      </c>
      <c r="Z23" s="266"/>
      <c r="AA23" s="271">
        <v>1849532905</v>
      </c>
      <c r="AB23" s="271"/>
      <c r="AC23" s="266"/>
    </row>
    <row r="24" spans="1:29" s="5" customFormat="1" ht="15" hidden="1" customHeight="1">
      <c r="A24" s="5" t="s">
        <v>29</v>
      </c>
      <c r="B24" s="1">
        <v>219</v>
      </c>
      <c r="C24" s="1"/>
      <c r="D24" s="5" t="s">
        <v>76</v>
      </c>
      <c r="E24" s="4"/>
      <c r="F24" s="1" t="s">
        <v>51</v>
      </c>
      <c r="G24" s="211" t="s">
        <v>213</v>
      </c>
      <c r="H24" s="211"/>
      <c r="I24" s="211"/>
      <c r="J24" s="1" t="s">
        <v>34</v>
      </c>
      <c r="K24" s="5" t="s">
        <v>143</v>
      </c>
      <c r="L24" s="135">
        <v>44047</v>
      </c>
      <c r="M24" s="135"/>
      <c r="N24" s="5" t="s">
        <v>214</v>
      </c>
      <c r="O24" s="5" t="s">
        <v>215</v>
      </c>
      <c r="P24" s="5" t="s">
        <v>38</v>
      </c>
      <c r="Q24" s="129" t="s">
        <v>216</v>
      </c>
      <c r="R24" s="5" t="s">
        <v>217</v>
      </c>
      <c r="S24" s="5" t="s">
        <v>59</v>
      </c>
      <c r="T24" s="5" t="s">
        <v>218</v>
      </c>
      <c r="U24" s="5" t="s">
        <v>219</v>
      </c>
      <c r="V24" s="5" t="s">
        <v>86</v>
      </c>
      <c r="W24" s="5" t="s">
        <v>220</v>
      </c>
      <c r="X24" s="1" t="s">
        <v>125</v>
      </c>
      <c r="Y24" s="5" t="s">
        <v>221</v>
      </c>
      <c r="Z24" s="5" t="s">
        <v>48</v>
      </c>
      <c r="AA24" s="4" t="s">
        <v>222</v>
      </c>
      <c r="AB24" s="4"/>
      <c r="AC24" s="1"/>
    </row>
    <row r="25" spans="1:29" s="5" customFormat="1" ht="15" hidden="1" customHeight="1">
      <c r="A25" s="5" t="s">
        <v>29</v>
      </c>
      <c r="B25" s="188">
        <v>221</v>
      </c>
      <c r="C25" s="188"/>
      <c r="D25" s="1" t="s">
        <v>76</v>
      </c>
      <c r="E25" s="4"/>
      <c r="F25" s="1" t="s">
        <v>51</v>
      </c>
      <c r="G25" s="211" t="s">
        <v>223</v>
      </c>
      <c r="H25" s="211"/>
      <c r="I25" s="211"/>
      <c r="J25" s="1" t="s">
        <v>34</v>
      </c>
      <c r="K25" s="1" t="s">
        <v>110</v>
      </c>
      <c r="L25" s="135">
        <v>44047</v>
      </c>
      <c r="M25" s="135"/>
      <c r="N25" s="1" t="s">
        <v>224</v>
      </c>
      <c r="O25" s="5" t="s">
        <v>225</v>
      </c>
      <c r="P25" s="129" t="s">
        <v>38</v>
      </c>
      <c r="Q25" s="129" t="s">
        <v>216</v>
      </c>
      <c r="R25" s="5" t="s">
        <v>226</v>
      </c>
      <c r="S25" s="5" t="s">
        <v>59</v>
      </c>
      <c r="T25" s="5" t="s">
        <v>218</v>
      </c>
      <c r="U25" s="5" t="s">
        <v>219</v>
      </c>
      <c r="V25" s="5" t="s">
        <v>86</v>
      </c>
      <c r="W25" s="5" t="s">
        <v>220</v>
      </c>
      <c r="X25" s="1" t="s">
        <v>125</v>
      </c>
      <c r="Y25" s="1" t="s">
        <v>227</v>
      </c>
      <c r="Z25" s="1" t="s">
        <v>228</v>
      </c>
      <c r="AA25" s="4" t="s">
        <v>229</v>
      </c>
      <c r="AB25" s="4"/>
      <c r="AC25" s="1"/>
    </row>
    <row r="26" spans="1:29" s="5" customFormat="1" ht="15" hidden="1" customHeight="1">
      <c r="A26" s="290" t="s">
        <v>29</v>
      </c>
      <c r="B26" s="1">
        <v>222</v>
      </c>
      <c r="C26" s="1" t="s">
        <v>230</v>
      </c>
      <c r="D26" s="1" t="s">
        <v>76</v>
      </c>
      <c r="E26" s="1"/>
      <c r="F26" s="291" t="s">
        <v>32</v>
      </c>
      <c r="G26" s="211" t="s">
        <v>231</v>
      </c>
      <c r="H26" s="242"/>
      <c r="I26" s="211" t="s">
        <v>232</v>
      </c>
      <c r="J26" s="291" t="s">
        <v>34</v>
      </c>
      <c r="K26" s="291"/>
      <c r="L26" s="135">
        <v>44277</v>
      </c>
      <c r="M26" s="245"/>
      <c r="N26" s="291" t="s">
        <v>233</v>
      </c>
      <c r="O26" s="151" t="s">
        <v>234</v>
      </c>
      <c r="P26" s="302" t="s">
        <v>38</v>
      </c>
      <c r="Q26" s="2" t="s">
        <v>235</v>
      </c>
      <c r="R26" t="s">
        <v>236</v>
      </c>
      <c r="S26" s="5" t="s">
        <v>59</v>
      </c>
      <c r="T26" s="5" t="s">
        <v>218</v>
      </c>
      <c r="U26" s="1" t="s">
        <v>237</v>
      </c>
      <c r="V26" s="130" t="s">
        <v>238</v>
      </c>
      <c r="W26" s="1" t="s">
        <v>239</v>
      </c>
      <c r="X26" s="1" t="s">
        <v>125</v>
      </c>
      <c r="Y26" s="1" t="s">
        <v>240</v>
      </c>
      <c r="Z26" s="291" t="s">
        <v>228</v>
      </c>
      <c r="AA26" s="4" t="s">
        <v>241</v>
      </c>
      <c r="AB26" s="294"/>
      <c r="AC26" s="291"/>
    </row>
    <row r="27" spans="1:29" s="171" customFormat="1" ht="15" hidden="1" customHeight="1">
      <c r="A27" s="5" t="s">
        <v>29</v>
      </c>
      <c r="B27" s="1">
        <v>224</v>
      </c>
      <c r="C27" s="1" t="s">
        <v>242</v>
      </c>
      <c r="D27" s="1" t="s">
        <v>76</v>
      </c>
      <c r="E27" s="4"/>
      <c r="F27" s="1" t="s">
        <v>32</v>
      </c>
      <c r="G27" s="211" t="s">
        <v>243</v>
      </c>
      <c r="H27" s="211"/>
      <c r="I27" s="211"/>
      <c r="J27" s="1" t="s">
        <v>34</v>
      </c>
      <c r="K27" s="1" t="s">
        <v>79</v>
      </c>
      <c r="L27" s="135">
        <v>44277</v>
      </c>
      <c r="M27" s="135"/>
      <c r="N27" s="291"/>
      <c r="O27" s="151"/>
      <c r="P27" s="129" t="s">
        <v>38</v>
      </c>
      <c r="Q27" s="129" t="s">
        <v>244</v>
      </c>
      <c r="R27" s="5" t="s">
        <v>245</v>
      </c>
      <c r="S27" s="5" t="s">
        <v>59</v>
      </c>
      <c r="T27" s="5" t="s">
        <v>218</v>
      </c>
      <c r="U27" s="1" t="s">
        <v>237</v>
      </c>
      <c r="V27" s="130" t="s">
        <v>238</v>
      </c>
      <c r="W27" s="1" t="s">
        <v>239</v>
      </c>
      <c r="X27" s="1" t="s">
        <v>125</v>
      </c>
      <c r="Y27" s="291"/>
      <c r="Z27" s="1" t="s">
        <v>246</v>
      </c>
      <c r="AA27" s="4"/>
      <c r="AB27" s="4"/>
      <c r="AC27" s="1"/>
    </row>
    <row r="28" spans="1:29" s="171" customFormat="1" ht="15" hidden="1" customHeight="1">
      <c r="A28" s="171" t="s">
        <v>29</v>
      </c>
      <c r="B28" s="172">
        <v>223</v>
      </c>
      <c r="C28" s="172"/>
      <c r="D28" s="172" t="s">
        <v>76</v>
      </c>
      <c r="E28" s="182"/>
      <c r="F28" s="172" t="s">
        <v>32</v>
      </c>
      <c r="G28" s="211" t="s">
        <v>247</v>
      </c>
      <c r="I28" s="211" t="s">
        <v>248</v>
      </c>
      <c r="J28" s="172" t="s">
        <v>34</v>
      </c>
      <c r="K28" s="172" t="s">
        <v>79</v>
      </c>
      <c r="L28" s="173">
        <v>44277</v>
      </c>
      <c r="M28" s="173"/>
      <c r="N28" s="172" t="s">
        <v>249</v>
      </c>
      <c r="O28" s="171" t="s">
        <v>250</v>
      </c>
      <c r="P28" s="174" t="s">
        <v>38</v>
      </c>
      <c r="Q28" s="174" t="s">
        <v>251</v>
      </c>
      <c r="R28" s="171" t="s">
        <v>252</v>
      </c>
      <c r="S28" s="171" t="s">
        <v>59</v>
      </c>
      <c r="T28" s="171" t="s">
        <v>218</v>
      </c>
      <c r="U28" s="172" t="s">
        <v>237</v>
      </c>
      <c r="V28" s="175" t="s">
        <v>238</v>
      </c>
      <c r="W28" s="172" t="s">
        <v>239</v>
      </c>
      <c r="X28" s="172" t="s">
        <v>253</v>
      </c>
      <c r="Y28" s="172" t="s">
        <v>254</v>
      </c>
      <c r="Z28" s="171" t="s">
        <v>48</v>
      </c>
      <c r="AA28" s="182" t="s">
        <v>255</v>
      </c>
      <c r="AB28" s="182"/>
      <c r="AC28" s="172"/>
    </row>
    <row r="29" spans="1:29" s="5" customFormat="1" ht="15" hidden="1" customHeight="1">
      <c r="A29" s="5" t="s">
        <v>29</v>
      </c>
      <c r="B29" s="128">
        <v>224</v>
      </c>
      <c r="C29" s="128"/>
      <c r="D29" s="5" t="s">
        <v>76</v>
      </c>
      <c r="E29" s="4"/>
      <c r="F29" s="1" t="s">
        <v>32</v>
      </c>
      <c r="G29" s="211" t="s">
        <v>243</v>
      </c>
      <c r="H29" s="211"/>
      <c r="I29" s="211"/>
      <c r="J29" s="1" t="s">
        <v>34</v>
      </c>
      <c r="K29" s="1" t="s">
        <v>79</v>
      </c>
      <c r="L29" s="135">
        <v>44277</v>
      </c>
      <c r="M29" s="135"/>
      <c r="N29" s="1" t="s">
        <v>256</v>
      </c>
      <c r="O29" s="151" t="s">
        <v>257</v>
      </c>
      <c r="P29" s="129" t="s">
        <v>38</v>
      </c>
      <c r="Q29" s="129" t="s">
        <v>244</v>
      </c>
      <c r="R29" s="5" t="s">
        <v>258</v>
      </c>
      <c r="S29" s="5" t="s">
        <v>59</v>
      </c>
      <c r="T29" s="5" t="s">
        <v>218</v>
      </c>
      <c r="U29" s="1" t="s">
        <v>237</v>
      </c>
      <c r="V29" s="130" t="s">
        <v>238</v>
      </c>
      <c r="W29" s="1" t="s">
        <v>239</v>
      </c>
      <c r="X29" s="1" t="s">
        <v>125</v>
      </c>
      <c r="Y29" s="186" t="s">
        <v>259</v>
      </c>
      <c r="Z29" s="5" t="s">
        <v>48</v>
      </c>
      <c r="AA29" s="4" t="s">
        <v>260</v>
      </c>
      <c r="AB29" s="4"/>
      <c r="AC29" s="1"/>
    </row>
    <row r="30" spans="1:29" s="171" customFormat="1" ht="15" hidden="1" customHeight="1">
      <c r="A30" s="171" t="s">
        <v>29</v>
      </c>
      <c r="B30" s="239">
        <v>225</v>
      </c>
      <c r="C30" s="239"/>
      <c r="D30" s="172" t="s">
        <v>76</v>
      </c>
      <c r="E30" s="182"/>
      <c r="F30" s="172" t="s">
        <v>32</v>
      </c>
      <c r="G30" s="211" t="s">
        <v>261</v>
      </c>
      <c r="I30" s="211" t="s">
        <v>262</v>
      </c>
      <c r="J30" s="172" t="s">
        <v>34</v>
      </c>
      <c r="K30" s="172" t="s">
        <v>118</v>
      </c>
      <c r="L30" s="173">
        <v>44277</v>
      </c>
      <c r="M30" s="173"/>
      <c r="N30" s="172" t="s">
        <v>263</v>
      </c>
      <c r="O30" s="171" t="s">
        <v>264</v>
      </c>
      <c r="P30" s="174" t="s">
        <v>38</v>
      </c>
      <c r="Q30" s="174" t="s">
        <v>244</v>
      </c>
      <c r="R30" s="171" t="s">
        <v>265</v>
      </c>
      <c r="S30" s="171" t="s">
        <v>59</v>
      </c>
      <c r="T30" s="171" t="s">
        <v>218</v>
      </c>
      <c r="U30" s="172" t="s">
        <v>237</v>
      </c>
      <c r="V30" s="175" t="s">
        <v>238</v>
      </c>
      <c r="W30" s="172" t="s">
        <v>239</v>
      </c>
      <c r="X30" s="172" t="s">
        <v>125</v>
      </c>
      <c r="Y30" s="172" t="s">
        <v>266</v>
      </c>
      <c r="Z30" s="171" t="s">
        <v>48</v>
      </c>
      <c r="AA30" s="182"/>
      <c r="AB30" s="182"/>
      <c r="AC30" s="172"/>
    </row>
    <row r="31" spans="1:29" s="5" customFormat="1" ht="15" hidden="1" customHeight="1">
      <c r="A31" s="5" t="s">
        <v>29</v>
      </c>
      <c r="B31" s="128">
        <v>226</v>
      </c>
      <c r="C31" s="128"/>
      <c r="D31" s="1" t="s">
        <v>76</v>
      </c>
      <c r="E31" s="4"/>
      <c r="F31" s="1" t="s">
        <v>51</v>
      </c>
      <c r="G31" s="218" t="s">
        <v>267</v>
      </c>
      <c r="H31" s="218"/>
      <c r="I31" s="218"/>
      <c r="J31" s="1" t="s">
        <v>34</v>
      </c>
      <c r="K31" s="5" t="s">
        <v>268</v>
      </c>
      <c r="L31" s="135">
        <v>44293</v>
      </c>
      <c r="M31" s="135"/>
      <c r="N31" s="1" t="s">
        <v>269</v>
      </c>
      <c r="O31" s="5" t="s">
        <v>270</v>
      </c>
      <c r="P31" s="129" t="s">
        <v>38</v>
      </c>
      <c r="Q31" s="129" t="s">
        <v>216</v>
      </c>
      <c r="R31" s="5" t="s">
        <v>271</v>
      </c>
      <c r="S31" s="5" t="s">
        <v>272</v>
      </c>
      <c r="T31" s="1" t="s">
        <v>218</v>
      </c>
      <c r="U31" s="5" t="s">
        <v>219</v>
      </c>
      <c r="V31" s="130" t="s">
        <v>238</v>
      </c>
      <c r="W31" s="5" t="s">
        <v>220</v>
      </c>
      <c r="X31" s="1" t="s">
        <v>125</v>
      </c>
      <c r="Y31" s="1" t="s">
        <v>273</v>
      </c>
      <c r="Z31" s="1" t="s">
        <v>48</v>
      </c>
      <c r="AA31" s="4" t="s">
        <v>274</v>
      </c>
      <c r="AB31" s="4"/>
      <c r="AC31" s="1"/>
    </row>
    <row r="32" spans="1:29" s="5" customFormat="1" ht="15" hidden="1" customHeight="1">
      <c r="A32" s="5" t="s">
        <v>29</v>
      </c>
      <c r="B32" s="1">
        <v>229</v>
      </c>
      <c r="C32" s="1"/>
      <c r="D32" s="1" t="s">
        <v>76</v>
      </c>
      <c r="E32" s="4"/>
      <c r="F32" s="1" t="s">
        <v>51</v>
      </c>
      <c r="G32" s="211" t="s">
        <v>275</v>
      </c>
      <c r="H32" s="211"/>
      <c r="I32" s="211"/>
      <c r="J32" s="1" t="s">
        <v>34</v>
      </c>
      <c r="K32" s="1" t="s">
        <v>276</v>
      </c>
      <c r="L32" s="135">
        <v>44293</v>
      </c>
      <c r="M32" s="135"/>
      <c r="N32" s="1"/>
      <c r="O32" s="135" t="s">
        <v>277</v>
      </c>
      <c r="P32" s="129" t="s">
        <v>38</v>
      </c>
      <c r="Q32" s="129" t="s">
        <v>216</v>
      </c>
      <c r="R32" s="5" t="s">
        <v>278</v>
      </c>
      <c r="S32" s="5" t="s">
        <v>272</v>
      </c>
      <c r="T32" s="1" t="s">
        <v>218</v>
      </c>
      <c r="U32" s="5" t="s">
        <v>219</v>
      </c>
      <c r="V32" s="130" t="s">
        <v>238</v>
      </c>
      <c r="W32" s="1" t="s">
        <v>220</v>
      </c>
      <c r="X32" s="1" t="s">
        <v>125</v>
      </c>
      <c r="Y32" s="1" t="s">
        <v>279</v>
      </c>
      <c r="Z32" s="1" t="s">
        <v>48</v>
      </c>
      <c r="AA32" s="4">
        <v>1852609498</v>
      </c>
      <c r="AB32" s="4"/>
      <c r="AC32" s="1"/>
    </row>
    <row r="33" spans="1:30" ht="15" hidden="1" customHeight="1">
      <c r="A33" s="5" t="s">
        <v>29</v>
      </c>
      <c r="B33" s="128">
        <v>230</v>
      </c>
      <c r="C33" s="128"/>
      <c r="D33" s="1" t="s">
        <v>76</v>
      </c>
      <c r="E33" s="4"/>
      <c r="F33" s="1" t="s">
        <v>32</v>
      </c>
      <c r="G33" s="211" t="s">
        <v>280</v>
      </c>
      <c r="H33" s="211"/>
      <c r="I33" s="211"/>
      <c r="J33" s="1" t="s">
        <v>34</v>
      </c>
      <c r="K33" s="1" t="s">
        <v>79</v>
      </c>
      <c r="L33" s="135">
        <v>44288</v>
      </c>
      <c r="M33" s="135"/>
      <c r="N33" s="1" t="s">
        <v>281</v>
      </c>
      <c r="O33" t="s">
        <v>282</v>
      </c>
      <c r="P33" s="129" t="s">
        <v>38</v>
      </c>
      <c r="Q33" s="129" t="s">
        <v>244</v>
      </c>
      <c r="R33" s="5" t="s">
        <v>283</v>
      </c>
      <c r="S33" s="5" t="s">
        <v>59</v>
      </c>
      <c r="T33" s="1" t="s">
        <v>218</v>
      </c>
      <c r="U33" s="5" t="s">
        <v>219</v>
      </c>
      <c r="V33" s="130" t="s">
        <v>238</v>
      </c>
      <c r="W33" s="1" t="s">
        <v>239</v>
      </c>
      <c r="X33" s="1" t="s">
        <v>125</v>
      </c>
      <c r="Y33" s="180" t="s">
        <v>284</v>
      </c>
      <c r="Z33" s="1" t="s">
        <v>285</v>
      </c>
      <c r="AA33" s="4" t="s">
        <v>286</v>
      </c>
      <c r="AB33" s="4"/>
      <c r="AC33" s="1"/>
      <c r="AD33" s="2"/>
    </row>
    <row r="34" spans="1:30" ht="15" hidden="1" customHeight="1">
      <c r="A34" s="5" t="s">
        <v>29</v>
      </c>
      <c r="B34" s="1">
        <v>231</v>
      </c>
      <c r="C34" s="1"/>
      <c r="D34" s="1" t="s">
        <v>76</v>
      </c>
      <c r="E34" s="4"/>
      <c r="F34" s="1" t="s">
        <v>32</v>
      </c>
      <c r="G34" s="211" t="s">
        <v>287</v>
      </c>
      <c r="H34" s="211"/>
      <c r="I34" s="211" t="s">
        <v>288</v>
      </c>
      <c r="J34" s="1" t="s">
        <v>34</v>
      </c>
      <c r="K34" s="5" t="s">
        <v>79</v>
      </c>
      <c r="L34" s="135">
        <v>44344</v>
      </c>
      <c r="M34" s="135"/>
      <c r="N34" s="1" t="s">
        <v>289</v>
      </c>
      <c r="O34" s="5" t="s">
        <v>290</v>
      </c>
      <c r="P34" s="129" t="s">
        <v>38</v>
      </c>
      <c r="Q34" s="129" t="s">
        <v>244</v>
      </c>
      <c r="R34" s="5" t="s">
        <v>291</v>
      </c>
      <c r="S34" s="5" t="s">
        <v>59</v>
      </c>
      <c r="T34" s="1" t="s">
        <v>218</v>
      </c>
      <c r="U34" s="1" t="s">
        <v>219</v>
      </c>
      <c r="V34" s="130" t="s">
        <v>238</v>
      </c>
      <c r="W34" s="1" t="s">
        <v>239</v>
      </c>
      <c r="X34" s="1" t="s">
        <v>125</v>
      </c>
      <c r="Y34" s="1" t="s">
        <v>292</v>
      </c>
      <c r="Z34" s="1" t="s">
        <v>48</v>
      </c>
      <c r="AA34" s="4" t="s">
        <v>293</v>
      </c>
      <c r="AB34" s="4"/>
      <c r="AC34" s="1"/>
      <c r="AD34" s="2"/>
    </row>
    <row r="35" spans="1:30" s="222" customFormat="1" ht="15" hidden="1" customHeight="1">
      <c r="A35" s="171" t="s">
        <v>29</v>
      </c>
      <c r="B35" s="172">
        <v>233</v>
      </c>
      <c r="C35" s="172"/>
      <c r="D35" s="172" t="s">
        <v>76</v>
      </c>
      <c r="E35" s="182"/>
      <c r="F35" s="172" t="s">
        <v>32</v>
      </c>
      <c r="G35" s="211" t="s">
        <v>294</v>
      </c>
      <c r="H35" s="171"/>
      <c r="I35" s="211" t="s">
        <v>295</v>
      </c>
      <c r="J35" s="172" t="s">
        <v>34</v>
      </c>
      <c r="K35" s="172" t="s">
        <v>79</v>
      </c>
      <c r="L35" s="173">
        <v>44344</v>
      </c>
      <c r="M35" s="173"/>
      <c r="N35" s="172" t="s">
        <v>296</v>
      </c>
      <c r="O35" s="171" t="s">
        <v>297</v>
      </c>
      <c r="P35" s="174" t="s">
        <v>38</v>
      </c>
      <c r="Q35" s="221" t="s">
        <v>244</v>
      </c>
      <c r="R35" s="171" t="s">
        <v>298</v>
      </c>
      <c r="S35" s="171" t="s">
        <v>59</v>
      </c>
      <c r="T35" s="172" t="s">
        <v>218</v>
      </c>
      <c r="U35" s="172" t="s">
        <v>219</v>
      </c>
      <c r="V35" s="175" t="s">
        <v>238</v>
      </c>
      <c r="W35" s="172" t="s">
        <v>239</v>
      </c>
      <c r="X35" s="172" t="s">
        <v>125</v>
      </c>
      <c r="Y35" s="172" t="s">
        <v>299</v>
      </c>
      <c r="Z35" s="172" t="s">
        <v>48</v>
      </c>
      <c r="AA35" s="182" t="s">
        <v>300</v>
      </c>
      <c r="AB35" s="182"/>
      <c r="AC35" s="172"/>
    </row>
    <row r="36" spans="1:30" ht="15" hidden="1" customHeight="1">
      <c r="A36" s="5" t="s">
        <v>29</v>
      </c>
      <c r="B36" s="1">
        <v>234</v>
      </c>
      <c r="C36" s="1"/>
      <c r="D36" s="172" t="s">
        <v>76</v>
      </c>
      <c r="E36" s="4"/>
      <c r="F36" s="1" t="s">
        <v>32</v>
      </c>
      <c r="G36" s="211" t="s">
        <v>301</v>
      </c>
      <c r="H36" s="211"/>
      <c r="I36" s="211" t="s">
        <v>302</v>
      </c>
      <c r="J36" s="1" t="s">
        <v>34</v>
      </c>
      <c r="K36" s="1" t="s">
        <v>79</v>
      </c>
      <c r="L36" s="135">
        <v>44344</v>
      </c>
      <c r="M36" s="135"/>
      <c r="N36" s="1" t="s">
        <v>303</v>
      </c>
      <c r="O36" s="5" t="s">
        <v>304</v>
      </c>
      <c r="P36" s="129" t="s">
        <v>38</v>
      </c>
      <c r="Q36" s="160" t="s">
        <v>244</v>
      </c>
      <c r="R36" s="5" t="s">
        <v>305</v>
      </c>
      <c r="S36" s="5" t="s">
        <v>59</v>
      </c>
      <c r="T36" s="1" t="s">
        <v>218</v>
      </c>
      <c r="U36" s="1" t="s">
        <v>219</v>
      </c>
      <c r="V36" s="130" t="s">
        <v>238</v>
      </c>
      <c r="W36" s="1" t="s">
        <v>239</v>
      </c>
      <c r="X36" s="1" t="s">
        <v>125</v>
      </c>
      <c r="Y36" s="1" t="s">
        <v>306</v>
      </c>
      <c r="Z36" s="1" t="s">
        <v>48</v>
      </c>
      <c r="AA36" s="4" t="s">
        <v>307</v>
      </c>
      <c r="AB36" s="4"/>
      <c r="AC36" s="1"/>
      <c r="AD36" s="2"/>
    </row>
    <row r="37" spans="1:30" ht="15" hidden="1" customHeight="1">
      <c r="A37" s="5" t="s">
        <v>29</v>
      </c>
      <c r="B37" s="172">
        <v>236</v>
      </c>
      <c r="C37" s="172"/>
      <c r="D37" s="172" t="s">
        <v>76</v>
      </c>
      <c r="E37" s="182"/>
      <c r="F37" s="172" t="s">
        <v>32</v>
      </c>
      <c r="G37" s="211" t="s">
        <v>308</v>
      </c>
      <c r="H37" s="211"/>
      <c r="I37" s="211" t="s">
        <v>309</v>
      </c>
      <c r="J37" s="172" t="s">
        <v>34</v>
      </c>
      <c r="K37" s="172" t="s">
        <v>79</v>
      </c>
      <c r="L37" s="173">
        <v>44405</v>
      </c>
      <c r="M37" s="173"/>
      <c r="N37" s="172" t="s">
        <v>310</v>
      </c>
      <c r="O37" s="171" t="s">
        <v>311</v>
      </c>
      <c r="P37" s="174" t="s">
        <v>38</v>
      </c>
      <c r="Q37" s="221" t="s">
        <v>244</v>
      </c>
      <c r="R37" s="171" t="s">
        <v>312</v>
      </c>
      <c r="S37" s="171" t="s">
        <v>59</v>
      </c>
      <c r="T37" s="172" t="s">
        <v>218</v>
      </c>
      <c r="U37" s="172" t="s">
        <v>219</v>
      </c>
      <c r="V37" s="175" t="s">
        <v>238</v>
      </c>
      <c r="W37" s="172" t="s">
        <v>239</v>
      </c>
      <c r="X37" s="172" t="s">
        <v>125</v>
      </c>
      <c r="Y37" s="172" t="s">
        <v>313</v>
      </c>
      <c r="Z37" s="172" t="s">
        <v>48</v>
      </c>
      <c r="AA37" s="182"/>
      <c r="AB37" s="4"/>
      <c r="AC37" s="1"/>
      <c r="AD37" s="2"/>
    </row>
    <row r="38" spans="1:30" ht="15" customHeight="1">
      <c r="A38" s="5" t="s">
        <v>29</v>
      </c>
      <c r="B38" s="1">
        <v>237</v>
      </c>
      <c r="C38" s="1"/>
      <c r="D38" s="1" t="s">
        <v>76</v>
      </c>
      <c r="E38" s="4" t="s">
        <v>314</v>
      </c>
      <c r="F38" s="1" t="s">
        <v>32</v>
      </c>
      <c r="G38" s="211" t="s">
        <v>315</v>
      </c>
      <c r="H38" s="211"/>
      <c r="I38" s="211" t="s">
        <v>316</v>
      </c>
      <c r="J38" s="1" t="s">
        <v>34</v>
      </c>
      <c r="K38" s="1" t="s">
        <v>317</v>
      </c>
      <c r="L38" s="135">
        <v>44405</v>
      </c>
      <c r="M38" s="135"/>
      <c r="N38" s="1" t="s">
        <v>318</v>
      </c>
      <c r="O38" s="5" t="s">
        <v>319</v>
      </c>
      <c r="P38" s="129" t="s">
        <v>38</v>
      </c>
      <c r="Q38" s="160" t="s">
        <v>244</v>
      </c>
      <c r="R38" s="5" t="s">
        <v>320</v>
      </c>
      <c r="S38" s="5" t="s">
        <v>59</v>
      </c>
      <c r="T38" s="1" t="s">
        <v>218</v>
      </c>
      <c r="U38" s="1" t="s">
        <v>219</v>
      </c>
      <c r="V38" s="130" t="s">
        <v>238</v>
      </c>
      <c r="W38" s="1" t="s">
        <v>239</v>
      </c>
      <c r="X38" s="1" t="s">
        <v>321</v>
      </c>
      <c r="Y38" s="1" t="s">
        <v>322</v>
      </c>
      <c r="Z38" s="1" t="s">
        <v>228</v>
      </c>
      <c r="AA38" s="4" t="s">
        <v>323</v>
      </c>
      <c r="AB38" s="4"/>
      <c r="AC38" s="1"/>
      <c r="AD38" s="2"/>
    </row>
    <row r="39" spans="1:30" s="220" customFormat="1" ht="15" hidden="1" customHeight="1">
      <c r="A39" s="176" t="s">
        <v>29</v>
      </c>
      <c r="B39" s="177">
        <v>238</v>
      </c>
      <c r="C39" s="177"/>
      <c r="D39" s="177" t="s">
        <v>324</v>
      </c>
      <c r="E39" s="187"/>
      <c r="F39" s="177" t="s">
        <v>32</v>
      </c>
      <c r="G39" s="176" t="s">
        <v>325</v>
      </c>
      <c r="H39" s="176"/>
      <c r="I39" s="176" t="s">
        <v>326</v>
      </c>
      <c r="J39" s="177" t="s">
        <v>34</v>
      </c>
      <c r="K39" s="177" t="s">
        <v>268</v>
      </c>
      <c r="L39" s="219">
        <v>44469</v>
      </c>
      <c r="M39" s="219"/>
      <c r="N39" s="177" t="s">
        <v>327</v>
      </c>
      <c r="O39" s="176" t="s">
        <v>328</v>
      </c>
      <c r="P39" s="283" t="s">
        <v>38</v>
      </c>
      <c r="Q39" s="289" t="s">
        <v>244</v>
      </c>
      <c r="R39" s="176" t="s">
        <v>329</v>
      </c>
      <c r="S39" s="176" t="s">
        <v>59</v>
      </c>
      <c r="T39" s="177" t="s">
        <v>218</v>
      </c>
      <c r="U39" s="177" t="s">
        <v>219</v>
      </c>
      <c r="V39" s="285" t="s">
        <v>238</v>
      </c>
      <c r="W39" s="177" t="s">
        <v>239</v>
      </c>
      <c r="X39" s="177" t="s">
        <v>125</v>
      </c>
      <c r="Y39" s="177" t="s">
        <v>330</v>
      </c>
      <c r="Z39" s="177" t="s">
        <v>48</v>
      </c>
      <c r="AA39" s="187"/>
      <c r="AB39" s="187"/>
      <c r="AC39" s="177"/>
    </row>
    <row r="40" spans="1:30" ht="15" hidden="1" customHeight="1">
      <c r="A40" s="5" t="s">
        <v>29</v>
      </c>
      <c r="B40" s="128">
        <v>239</v>
      </c>
      <c r="C40" s="128"/>
      <c r="D40" s="1" t="s">
        <v>30</v>
      </c>
      <c r="E40" s="4"/>
      <c r="F40" s="1" t="s">
        <v>32</v>
      </c>
      <c r="G40" s="211" t="s">
        <v>331</v>
      </c>
      <c r="H40" s="211"/>
      <c r="I40" s="211"/>
      <c r="J40" s="1" t="s">
        <v>34</v>
      </c>
      <c r="K40" s="1" t="s">
        <v>332</v>
      </c>
      <c r="L40" s="135">
        <v>44490</v>
      </c>
      <c r="M40" s="135"/>
      <c r="N40" s="1" t="s">
        <v>333</v>
      </c>
      <c r="O40" s="5" t="s">
        <v>334</v>
      </c>
      <c r="P40" s="129" t="s">
        <v>335</v>
      </c>
      <c r="Q40" s="129" t="s">
        <v>336</v>
      </c>
      <c r="R40" s="5" t="s">
        <v>337</v>
      </c>
      <c r="S40" s="5" t="s">
        <v>338</v>
      </c>
      <c r="T40" s="1" t="s">
        <v>218</v>
      </c>
      <c r="U40" s="1" t="s">
        <v>339</v>
      </c>
      <c r="V40" s="130" t="s">
        <v>86</v>
      </c>
      <c r="W40" s="1" t="s">
        <v>340</v>
      </c>
      <c r="X40" s="1" t="s">
        <v>341</v>
      </c>
      <c r="Y40" s="1" t="s">
        <v>48</v>
      </c>
      <c r="Z40" s="1" t="s">
        <v>48</v>
      </c>
      <c r="AA40" s="4"/>
      <c r="AB40" s="4"/>
      <c r="AC40" s="1"/>
      <c r="AD40" s="2"/>
    </row>
    <row r="41" spans="1:30" customFormat="1" ht="15" hidden="1" customHeight="1">
      <c r="A41" s="151" t="s">
        <v>29</v>
      </c>
      <c r="B41" s="46">
        <v>245</v>
      </c>
      <c r="C41" s="46"/>
      <c r="D41" s="188" t="s">
        <v>76</v>
      </c>
      <c r="E41" s="213"/>
      <c r="F41" s="188" t="s">
        <v>51</v>
      </c>
      <c r="G41" s="151" t="s">
        <v>342</v>
      </c>
      <c r="H41" s="151"/>
      <c r="I41" s="151" t="s">
        <v>343</v>
      </c>
      <c r="J41" s="188" t="s">
        <v>34</v>
      </c>
      <c r="K41" s="188" t="s">
        <v>317</v>
      </c>
      <c r="L41" s="214"/>
      <c r="M41" s="214"/>
      <c r="N41" s="188"/>
      <c r="O41" s="151"/>
      <c r="P41" s="295"/>
      <c r="Q41" s="296"/>
      <c r="R41" s="151"/>
      <c r="S41" s="151"/>
      <c r="T41" s="188"/>
      <c r="U41" s="188"/>
      <c r="V41" s="297"/>
      <c r="W41" s="188"/>
      <c r="X41" s="188" t="s">
        <v>88</v>
      </c>
      <c r="Y41" s="188" t="s">
        <v>344</v>
      </c>
      <c r="Z41" s="188" t="s">
        <v>228</v>
      </c>
      <c r="AA41" s="213" t="s">
        <v>345</v>
      </c>
      <c r="AB41" s="213"/>
      <c r="AC41" s="188"/>
    </row>
    <row r="42" spans="1:30" ht="15" hidden="1" customHeight="1">
      <c r="A42" s="5" t="s">
        <v>29</v>
      </c>
      <c r="B42" s="128">
        <v>246</v>
      </c>
      <c r="C42" s="128"/>
      <c r="D42" s="1" t="s">
        <v>76</v>
      </c>
      <c r="E42" s="4"/>
      <c r="F42" s="1" t="s">
        <v>51</v>
      </c>
      <c r="G42" s="211" t="s">
        <v>346</v>
      </c>
      <c r="H42" s="211"/>
      <c r="I42" s="211" t="s">
        <v>347</v>
      </c>
      <c r="J42" s="1" t="s">
        <v>34</v>
      </c>
      <c r="K42" s="1" t="s">
        <v>317</v>
      </c>
      <c r="L42" s="135"/>
      <c r="M42" s="135"/>
      <c r="N42" s="1"/>
      <c r="O42" s="5"/>
      <c r="P42" s="129"/>
      <c r="Q42" s="160"/>
      <c r="R42" s="5"/>
      <c r="S42" s="5"/>
      <c r="T42" s="1"/>
      <c r="U42" s="1"/>
      <c r="V42" s="130"/>
      <c r="W42" s="1"/>
      <c r="X42" s="1" t="s">
        <v>88</v>
      </c>
      <c r="Y42" s="1" t="s">
        <v>348</v>
      </c>
      <c r="Z42" s="1" t="s">
        <v>228</v>
      </c>
      <c r="AA42" s="4">
        <v>1567752931</v>
      </c>
      <c r="AB42" s="4"/>
      <c r="AC42" s="1"/>
      <c r="AD42" s="2"/>
    </row>
    <row r="43" spans="1:30" ht="15" hidden="1" customHeight="1">
      <c r="A43" s="290" t="s">
        <v>29</v>
      </c>
      <c r="B43" s="1">
        <v>247</v>
      </c>
      <c r="C43" s="1"/>
      <c r="D43" s="1" t="s">
        <v>325</v>
      </c>
      <c r="E43" s="1"/>
      <c r="F43" s="291" t="s">
        <v>32</v>
      </c>
      <c r="G43" s="298" t="s">
        <v>261</v>
      </c>
      <c r="H43" s="176"/>
      <c r="I43" s="211" t="s">
        <v>349</v>
      </c>
      <c r="J43" s="291" t="s">
        <v>34</v>
      </c>
      <c r="K43" s="291" t="s">
        <v>317</v>
      </c>
      <c r="L43" s="292">
        <v>46164</v>
      </c>
      <c r="M43" s="219"/>
      <c r="N43" s="291" t="s">
        <v>350</v>
      </c>
      <c r="O43" s="290" t="s">
        <v>351</v>
      </c>
      <c r="P43" s="129" t="s">
        <v>352</v>
      </c>
      <c r="Q43" s="160" t="s">
        <v>353</v>
      </c>
      <c r="R43" s="299" t="s">
        <v>354</v>
      </c>
      <c r="S43" s="299" t="s">
        <v>272</v>
      </c>
      <c r="T43" s="291" t="s">
        <v>218</v>
      </c>
      <c r="U43" s="1" t="s">
        <v>172</v>
      </c>
      <c r="V43" s="293"/>
      <c r="W43" s="291" t="s">
        <v>355</v>
      </c>
      <c r="X43" s="300"/>
      <c r="Y43" s="291" t="s">
        <v>48</v>
      </c>
      <c r="Z43" s="291"/>
      <c r="AA43" s="294"/>
      <c r="AB43" s="294"/>
      <c r="AC43" s="291"/>
      <c r="AD43" s="2"/>
    </row>
    <row r="44" spans="1:30" ht="15" hidden="1" customHeight="1">
      <c r="A44" s="290" t="s">
        <v>29</v>
      </c>
      <c r="B44" s="1">
        <v>248</v>
      </c>
      <c r="C44" s="1"/>
      <c r="D44" s="1" t="s">
        <v>325</v>
      </c>
      <c r="E44" s="1"/>
      <c r="F44" s="291" t="s">
        <v>32</v>
      </c>
      <c r="G44" s="211"/>
      <c r="H44" s="176"/>
      <c r="I44" s="211"/>
      <c r="J44" s="291"/>
      <c r="K44" s="291"/>
      <c r="L44" s="292">
        <v>46164</v>
      </c>
      <c r="M44" s="219"/>
      <c r="N44" s="291"/>
      <c r="O44" s="290"/>
      <c r="P44" s="129" t="s">
        <v>352</v>
      </c>
      <c r="Q44" s="160" t="s">
        <v>353</v>
      </c>
      <c r="R44" s="290" t="s">
        <v>356</v>
      </c>
      <c r="S44" s="299" t="s">
        <v>272</v>
      </c>
      <c r="T44" s="291" t="s">
        <v>218</v>
      </c>
      <c r="U44" s="1" t="s">
        <v>172</v>
      </c>
      <c r="V44" s="293" t="s">
        <v>357</v>
      </c>
      <c r="W44" s="291" t="s">
        <v>355</v>
      </c>
      <c r="X44" s="291"/>
      <c r="Y44" s="291"/>
      <c r="Z44" s="291"/>
      <c r="AA44" s="294"/>
      <c r="AB44" s="294"/>
      <c r="AC44" s="291"/>
      <c r="AD44" s="2"/>
    </row>
    <row r="45" spans="1:30" ht="15" hidden="1" customHeight="1">
      <c r="A45" s="290" t="s">
        <v>29</v>
      </c>
      <c r="B45" s="1">
        <v>249</v>
      </c>
      <c r="C45" s="1"/>
      <c r="D45" s="1" t="s">
        <v>325</v>
      </c>
      <c r="E45" s="1"/>
      <c r="F45" s="291" t="s">
        <v>32</v>
      </c>
      <c r="G45" s="290"/>
      <c r="H45" s="176"/>
      <c r="I45" s="211"/>
      <c r="J45" s="291"/>
      <c r="K45" s="291"/>
      <c r="L45" s="292">
        <v>46164</v>
      </c>
      <c r="M45" s="219"/>
      <c r="N45" s="291"/>
      <c r="O45" s="290"/>
      <c r="P45" s="129" t="s">
        <v>352</v>
      </c>
      <c r="Q45" s="160" t="s">
        <v>353</v>
      </c>
      <c r="R45" s="290" t="s">
        <v>358</v>
      </c>
      <c r="S45" s="299" t="s">
        <v>272</v>
      </c>
      <c r="T45" s="291" t="s">
        <v>218</v>
      </c>
      <c r="U45" s="1" t="s">
        <v>172</v>
      </c>
      <c r="V45" s="293" t="s">
        <v>357</v>
      </c>
      <c r="W45" s="291" t="s">
        <v>355</v>
      </c>
      <c r="X45" s="291"/>
      <c r="Y45" s="291"/>
      <c r="Z45" s="291"/>
      <c r="AA45" s="294"/>
      <c r="AB45" s="294"/>
      <c r="AC45" s="291"/>
      <c r="AD45" s="2"/>
    </row>
    <row r="46" spans="1:30" ht="15" hidden="1" customHeight="1">
      <c r="A46" s="5" t="s">
        <v>359</v>
      </c>
      <c r="B46" s="1" t="s">
        <v>360</v>
      </c>
      <c r="C46" s="1"/>
      <c r="D46" s="1" t="s">
        <v>76</v>
      </c>
      <c r="E46" s="4"/>
      <c r="F46" s="1" t="s">
        <v>361</v>
      </c>
      <c r="G46" s="211" t="s">
        <v>362</v>
      </c>
      <c r="H46" s="211"/>
      <c r="I46" s="211"/>
      <c r="J46" s="1" t="s">
        <v>34</v>
      </c>
      <c r="K46" s="1" t="s">
        <v>363</v>
      </c>
      <c r="L46" s="135">
        <v>45056</v>
      </c>
      <c r="M46" s="135"/>
      <c r="N46" s="1" t="s">
        <v>364</v>
      </c>
      <c r="O46" s="223"/>
      <c r="P46" s="129" t="s">
        <v>335</v>
      </c>
      <c r="Q46" s="129" t="s">
        <v>365</v>
      </c>
      <c r="R46" s="5" t="s">
        <v>366</v>
      </c>
      <c r="S46" s="5"/>
      <c r="T46" s="1" t="s">
        <v>218</v>
      </c>
      <c r="U46" s="1" t="s">
        <v>339</v>
      </c>
      <c r="V46" s="130"/>
      <c r="W46" s="1"/>
      <c r="X46" s="1" t="s">
        <v>341</v>
      </c>
      <c r="Y46" s="1" t="s">
        <v>48</v>
      </c>
      <c r="Z46" s="1" t="s">
        <v>228</v>
      </c>
      <c r="AA46" s="4"/>
      <c r="AB46" s="4" t="s">
        <v>367</v>
      </c>
      <c r="AC46" s="1" t="s">
        <v>368</v>
      </c>
      <c r="AD46" s="2"/>
    </row>
    <row r="47" spans="1:30" s="247" customFormat="1" ht="15" hidden="1" customHeight="1">
      <c r="A47" s="242" t="s">
        <v>369</v>
      </c>
      <c r="B47" s="243" t="s">
        <v>370</v>
      </c>
      <c r="C47" s="243"/>
      <c r="D47" s="243" t="s">
        <v>371</v>
      </c>
      <c r="E47" s="244"/>
      <c r="F47" s="243" t="s">
        <v>32</v>
      </c>
      <c r="G47" s="242" t="s">
        <v>325</v>
      </c>
      <c r="H47" s="242" t="s">
        <v>372</v>
      </c>
      <c r="I47" s="242" t="s">
        <v>373</v>
      </c>
      <c r="J47" s="243" t="s">
        <v>34</v>
      </c>
      <c r="K47" s="243" t="s">
        <v>35</v>
      </c>
      <c r="L47" s="245">
        <v>45056</v>
      </c>
      <c r="M47" s="245" t="s">
        <v>374</v>
      </c>
      <c r="N47" s="243" t="s">
        <v>364</v>
      </c>
      <c r="O47" s="251" t="s">
        <v>375</v>
      </c>
      <c r="P47" s="246" t="s">
        <v>335</v>
      </c>
      <c r="Q47" s="246" t="s">
        <v>336</v>
      </c>
      <c r="R47" s="242" t="s">
        <v>376</v>
      </c>
      <c r="S47" s="242" t="s">
        <v>377</v>
      </c>
      <c r="T47" s="243" t="s">
        <v>218</v>
      </c>
      <c r="U47" s="243" t="s">
        <v>339</v>
      </c>
      <c r="V47" s="248" t="s">
        <v>86</v>
      </c>
      <c r="W47" s="243" t="s">
        <v>340</v>
      </c>
      <c r="X47" s="243" t="s">
        <v>341</v>
      </c>
      <c r="Y47" s="243" t="s">
        <v>48</v>
      </c>
      <c r="Z47" s="243" t="s">
        <v>378</v>
      </c>
      <c r="AA47" s="244" t="s">
        <v>379</v>
      </c>
      <c r="AB47" s="244" t="s">
        <v>380</v>
      </c>
      <c r="AC47" s="243" t="s">
        <v>368</v>
      </c>
    </row>
    <row r="48" spans="1:30" s="247" customFormat="1" ht="15" hidden="1" customHeight="1">
      <c r="A48" s="242" t="s">
        <v>369</v>
      </c>
      <c r="B48" s="243" t="s">
        <v>381</v>
      </c>
      <c r="C48" s="243"/>
      <c r="D48" s="243" t="s">
        <v>371</v>
      </c>
      <c r="E48" s="244"/>
      <c r="F48" s="243" t="s">
        <v>32</v>
      </c>
      <c r="G48" s="242" t="s">
        <v>325</v>
      </c>
      <c r="H48" s="242" t="s">
        <v>382</v>
      </c>
      <c r="I48" s="242" t="s">
        <v>383</v>
      </c>
      <c r="J48" s="243" t="s">
        <v>34</v>
      </c>
      <c r="K48" s="243" t="s">
        <v>317</v>
      </c>
      <c r="L48" s="245">
        <v>45056</v>
      </c>
      <c r="M48" s="245" t="s">
        <v>374</v>
      </c>
      <c r="N48" s="243" t="s">
        <v>364</v>
      </c>
      <c r="O48" s="252" t="s">
        <v>384</v>
      </c>
      <c r="P48" s="246" t="s">
        <v>335</v>
      </c>
      <c r="Q48" s="246" t="s">
        <v>336</v>
      </c>
      <c r="R48" s="242" t="s">
        <v>385</v>
      </c>
      <c r="S48" s="242" t="s">
        <v>377</v>
      </c>
      <c r="T48" s="243" t="s">
        <v>218</v>
      </c>
      <c r="U48" s="243" t="s">
        <v>339</v>
      </c>
      <c r="V48" s="248" t="s">
        <v>86</v>
      </c>
      <c r="W48" s="243" t="s">
        <v>340</v>
      </c>
      <c r="X48" s="243" t="s">
        <v>341</v>
      </c>
      <c r="Y48" s="243" t="s">
        <v>48</v>
      </c>
      <c r="Z48" s="243" t="s">
        <v>228</v>
      </c>
      <c r="AA48" s="244" t="s">
        <v>386</v>
      </c>
      <c r="AB48" s="244" t="s">
        <v>380</v>
      </c>
      <c r="AC48" s="243" t="s">
        <v>368</v>
      </c>
    </row>
    <row r="49" spans="1:30" s="247" customFormat="1" ht="15" hidden="1" customHeight="1">
      <c r="A49" s="242" t="s">
        <v>369</v>
      </c>
      <c r="B49" s="243" t="s">
        <v>387</v>
      </c>
      <c r="C49" s="243"/>
      <c r="D49" s="243" t="s">
        <v>371</v>
      </c>
      <c r="E49" s="244"/>
      <c r="F49" s="243" t="s">
        <v>32</v>
      </c>
      <c r="G49" s="242" t="s">
        <v>325</v>
      </c>
      <c r="H49" s="242" t="s">
        <v>388</v>
      </c>
      <c r="I49" s="242" t="s">
        <v>389</v>
      </c>
      <c r="J49" s="243" t="s">
        <v>34</v>
      </c>
      <c r="K49" s="243" t="s">
        <v>363</v>
      </c>
      <c r="L49" s="245">
        <v>45056</v>
      </c>
      <c r="M49" s="245" t="s">
        <v>374</v>
      </c>
      <c r="N49" s="243" t="s">
        <v>364</v>
      </c>
      <c r="O49" s="251" t="s">
        <v>390</v>
      </c>
      <c r="P49" s="246" t="s">
        <v>335</v>
      </c>
      <c r="Q49" s="246" t="s">
        <v>336</v>
      </c>
      <c r="R49" s="242" t="s">
        <v>391</v>
      </c>
      <c r="S49" s="242" t="s">
        <v>377</v>
      </c>
      <c r="T49" s="243" t="s">
        <v>218</v>
      </c>
      <c r="U49" s="243" t="s">
        <v>339</v>
      </c>
      <c r="V49" s="248" t="s">
        <v>86</v>
      </c>
      <c r="W49" s="243" t="s">
        <v>340</v>
      </c>
      <c r="X49" s="243" t="s">
        <v>341</v>
      </c>
      <c r="Y49" s="243" t="s">
        <v>48</v>
      </c>
      <c r="Z49" s="243" t="s">
        <v>378</v>
      </c>
      <c r="AA49" s="244" t="s">
        <v>392</v>
      </c>
      <c r="AB49" s="244" t="s">
        <v>380</v>
      </c>
      <c r="AC49" s="243" t="s">
        <v>368</v>
      </c>
    </row>
    <row r="50" spans="1:30" s="247" customFormat="1" ht="15" hidden="1" customHeight="1">
      <c r="A50" s="242" t="s">
        <v>369</v>
      </c>
      <c r="B50" s="243" t="s">
        <v>393</v>
      </c>
      <c r="C50" s="243"/>
      <c r="D50" s="243" t="s">
        <v>371</v>
      </c>
      <c r="E50" s="244"/>
      <c r="F50" s="243" t="s">
        <v>32</v>
      </c>
      <c r="G50" s="242" t="s">
        <v>325</v>
      </c>
      <c r="H50" s="242" t="s">
        <v>394</v>
      </c>
      <c r="I50" s="242" t="s">
        <v>395</v>
      </c>
      <c r="J50" s="243" t="s">
        <v>34</v>
      </c>
      <c r="K50" s="243" t="s">
        <v>276</v>
      </c>
      <c r="L50" s="245">
        <v>45056</v>
      </c>
      <c r="M50" s="245" t="s">
        <v>374</v>
      </c>
      <c r="N50" s="243" t="s">
        <v>364</v>
      </c>
      <c r="O50" s="252" t="s">
        <v>396</v>
      </c>
      <c r="P50" s="246" t="s">
        <v>335</v>
      </c>
      <c r="Q50" s="246" t="s">
        <v>336</v>
      </c>
      <c r="R50" s="242" t="s">
        <v>397</v>
      </c>
      <c r="S50" s="242" t="s">
        <v>377</v>
      </c>
      <c r="T50" s="243" t="s">
        <v>218</v>
      </c>
      <c r="U50" s="243" t="s">
        <v>339</v>
      </c>
      <c r="V50" s="248" t="s">
        <v>86</v>
      </c>
      <c r="W50" s="243" t="s">
        <v>340</v>
      </c>
      <c r="X50" s="243" t="s">
        <v>125</v>
      </c>
      <c r="Y50" s="272" t="s">
        <v>398</v>
      </c>
      <c r="Z50" s="243" t="s">
        <v>228</v>
      </c>
      <c r="AA50" s="244" t="s">
        <v>399</v>
      </c>
      <c r="AB50" s="244" t="s">
        <v>380</v>
      </c>
      <c r="AC50" s="243" t="s">
        <v>368</v>
      </c>
    </row>
    <row r="51" spans="1:30" s="247" customFormat="1" ht="15" hidden="1" customHeight="1">
      <c r="A51" s="242" t="s">
        <v>369</v>
      </c>
      <c r="B51" s="243" t="s">
        <v>400</v>
      </c>
      <c r="C51" s="243"/>
      <c r="D51" s="243" t="s">
        <v>371</v>
      </c>
      <c r="E51" s="244"/>
      <c r="F51" s="243" t="s">
        <v>32</v>
      </c>
      <c r="G51" s="242" t="s">
        <v>325</v>
      </c>
      <c r="H51" s="242" t="s">
        <v>394</v>
      </c>
      <c r="I51" s="242" t="s">
        <v>401</v>
      </c>
      <c r="J51" s="243" t="s">
        <v>34</v>
      </c>
      <c r="K51" s="243" t="s">
        <v>332</v>
      </c>
      <c r="L51" s="245">
        <v>45056</v>
      </c>
      <c r="M51" s="245" t="s">
        <v>374</v>
      </c>
      <c r="N51" s="243" t="s">
        <v>364</v>
      </c>
      <c r="O51" s="252" t="s">
        <v>402</v>
      </c>
      <c r="P51" s="246" t="s">
        <v>335</v>
      </c>
      <c r="Q51" s="246" t="s">
        <v>336</v>
      </c>
      <c r="R51" s="242" t="s">
        <v>403</v>
      </c>
      <c r="S51" s="242" t="s">
        <v>377</v>
      </c>
      <c r="T51" s="243" t="s">
        <v>218</v>
      </c>
      <c r="U51" s="243" t="s">
        <v>339</v>
      </c>
      <c r="V51" s="248" t="s">
        <v>86</v>
      </c>
      <c r="W51" s="243" t="s">
        <v>340</v>
      </c>
      <c r="X51" s="243" t="s">
        <v>341</v>
      </c>
      <c r="Y51" s="243" t="s">
        <v>48</v>
      </c>
      <c r="Z51" s="243" t="s">
        <v>228</v>
      </c>
      <c r="AA51" s="244" t="s">
        <v>404</v>
      </c>
      <c r="AB51" s="244" t="s">
        <v>380</v>
      </c>
      <c r="AC51" s="243" t="s">
        <v>368</v>
      </c>
    </row>
    <row r="52" spans="1:30" s="247" customFormat="1" ht="18.95" hidden="1" customHeight="1">
      <c r="A52" s="242" t="s">
        <v>369</v>
      </c>
      <c r="B52" s="243" t="s">
        <v>405</v>
      </c>
      <c r="C52" s="243"/>
      <c r="D52" s="243" t="s">
        <v>371</v>
      </c>
      <c r="E52" s="244" t="s">
        <v>406</v>
      </c>
      <c r="F52" s="243" t="s">
        <v>32</v>
      </c>
      <c r="G52" s="242" t="s">
        <v>325</v>
      </c>
      <c r="H52" s="242" t="s">
        <v>394</v>
      </c>
      <c r="I52" s="242" t="s">
        <v>407</v>
      </c>
      <c r="J52" s="243" t="s">
        <v>34</v>
      </c>
      <c r="K52" s="243" t="s">
        <v>408</v>
      </c>
      <c r="L52" s="245">
        <v>45056</v>
      </c>
      <c r="M52" s="245" t="s">
        <v>374</v>
      </c>
      <c r="N52" s="243" t="s">
        <v>364</v>
      </c>
      <c r="O52" s="252" t="s">
        <v>409</v>
      </c>
      <c r="P52" s="246" t="s">
        <v>335</v>
      </c>
      <c r="Q52" s="246" t="s">
        <v>336</v>
      </c>
      <c r="R52" s="242" t="s">
        <v>410</v>
      </c>
      <c r="S52" s="242" t="s">
        <v>377</v>
      </c>
      <c r="T52" s="243" t="s">
        <v>218</v>
      </c>
      <c r="U52" s="243" t="s">
        <v>339</v>
      </c>
      <c r="V52" s="248" t="s">
        <v>86</v>
      </c>
      <c r="W52" s="243" t="s">
        <v>340</v>
      </c>
      <c r="X52" s="243" t="s">
        <v>341</v>
      </c>
      <c r="Y52" s="243" t="s">
        <v>48</v>
      </c>
      <c r="Z52" s="243" t="s">
        <v>228</v>
      </c>
      <c r="AA52" s="244" t="s">
        <v>411</v>
      </c>
      <c r="AB52" s="244" t="s">
        <v>380</v>
      </c>
      <c r="AC52" s="243" t="s">
        <v>368</v>
      </c>
    </row>
    <row r="53" spans="1:30" ht="15" hidden="1" customHeight="1">
      <c r="A53" s="5" t="s">
        <v>369</v>
      </c>
      <c r="B53" s="1" t="s">
        <v>412</v>
      </c>
      <c r="C53" s="1"/>
      <c r="D53" s="1" t="s">
        <v>30</v>
      </c>
      <c r="E53" s="4"/>
      <c r="F53" s="1" t="s">
        <v>32</v>
      </c>
      <c r="G53" s="211" t="s">
        <v>413</v>
      </c>
      <c r="H53" s="211"/>
      <c r="I53" s="211"/>
      <c r="J53" s="1" t="s">
        <v>34</v>
      </c>
      <c r="K53" s="1" t="s">
        <v>363</v>
      </c>
      <c r="L53" s="135">
        <v>45056</v>
      </c>
      <c r="M53" s="173" t="s">
        <v>374</v>
      </c>
      <c r="N53" s="1" t="s">
        <v>364</v>
      </c>
      <c r="O53" s="223" t="s">
        <v>414</v>
      </c>
      <c r="P53" s="129" t="s">
        <v>335</v>
      </c>
      <c r="Q53" s="129" t="s">
        <v>336</v>
      </c>
      <c r="R53" s="5" t="s">
        <v>415</v>
      </c>
      <c r="S53" s="5" t="s">
        <v>377</v>
      </c>
      <c r="T53" s="1" t="s">
        <v>218</v>
      </c>
      <c r="U53" s="1" t="s">
        <v>339</v>
      </c>
      <c r="V53" s="130" t="s">
        <v>86</v>
      </c>
      <c r="W53" s="1" t="s">
        <v>340</v>
      </c>
      <c r="X53" s="1" t="s">
        <v>341</v>
      </c>
      <c r="Y53" s="1" t="s">
        <v>48</v>
      </c>
      <c r="Z53" s="1" t="s">
        <v>228</v>
      </c>
      <c r="AA53" s="4" t="s">
        <v>416</v>
      </c>
      <c r="AB53" s="4" t="s">
        <v>380</v>
      </c>
      <c r="AC53" s="1" t="s">
        <v>368</v>
      </c>
      <c r="AD53" s="2"/>
    </row>
    <row r="54" spans="1:30" ht="18.95" customHeight="1">
      <c r="A54" s="151" t="s">
        <v>417</v>
      </c>
      <c r="B54" s="188" t="s">
        <v>418</v>
      </c>
      <c r="C54" s="151"/>
      <c r="D54" s="1" t="s">
        <v>76</v>
      </c>
      <c r="E54" s="4"/>
      <c r="F54" s="1" t="s">
        <v>51</v>
      </c>
      <c r="G54" s="224" t="s">
        <v>419</v>
      </c>
      <c r="H54" s="224"/>
      <c r="I54" s="224"/>
      <c r="J54" s="172" t="s">
        <v>34</v>
      </c>
      <c r="K54" s="224"/>
      <c r="L54" s="135">
        <v>45994</v>
      </c>
      <c r="M54" s="135" t="s">
        <v>420</v>
      </c>
      <c r="N54" s="1"/>
      <c r="O54" s="135"/>
      <c r="P54" s="129" t="s">
        <v>38</v>
      </c>
      <c r="Q54" t="s">
        <v>421</v>
      </c>
      <c r="R54" s="225" t="s">
        <v>422</v>
      </c>
      <c r="S54" s="5" t="s">
        <v>272</v>
      </c>
      <c r="T54" s="225"/>
      <c r="U54" s="5"/>
      <c r="V54" s="130" t="s">
        <v>423</v>
      </c>
      <c r="W54" s="1" t="s">
        <v>424</v>
      </c>
      <c r="X54" s="130" t="s">
        <v>88</v>
      </c>
      <c r="Y54" s="1" t="s">
        <v>159</v>
      </c>
      <c r="Z54" s="1" t="s">
        <v>228</v>
      </c>
      <c r="AA54" s="4" t="s">
        <v>425</v>
      </c>
      <c r="AB54" s="4">
        <v>1</v>
      </c>
      <c r="AC54" s="2" t="s">
        <v>426</v>
      </c>
    </row>
    <row r="55" spans="1:30" ht="18.95" customHeight="1">
      <c r="A55" s="151" t="s">
        <v>417</v>
      </c>
      <c r="B55" s="188" t="s">
        <v>427</v>
      </c>
      <c r="C55" s="151"/>
      <c r="D55" s="1" t="s">
        <v>76</v>
      </c>
      <c r="E55" s="4"/>
      <c r="F55" s="1" t="s">
        <v>51</v>
      </c>
      <c r="G55" s="224" t="s">
        <v>428</v>
      </c>
      <c r="H55" s="224"/>
      <c r="I55" s="224"/>
      <c r="J55" s="1" t="s">
        <v>34</v>
      </c>
      <c r="K55" s="224"/>
      <c r="L55" s="135">
        <v>45994</v>
      </c>
      <c r="M55" s="135" t="s">
        <v>420</v>
      </c>
      <c r="N55" s="1"/>
      <c r="O55" s="135"/>
      <c r="P55" s="129" t="s">
        <v>38</v>
      </c>
      <c r="Q55" t="s">
        <v>421</v>
      </c>
      <c r="R55" s="225" t="s">
        <v>429</v>
      </c>
      <c r="S55" s="5" t="s">
        <v>272</v>
      </c>
      <c r="T55" s="225"/>
      <c r="U55" s="5"/>
      <c r="V55" s="130" t="s">
        <v>423</v>
      </c>
      <c r="W55" s="1" t="s">
        <v>424</v>
      </c>
      <c r="X55" s="130"/>
      <c r="Y55" s="1"/>
      <c r="Z55" s="1" t="s">
        <v>228</v>
      </c>
      <c r="AA55" s="4" t="s">
        <v>430</v>
      </c>
      <c r="AB55" s="4">
        <v>1</v>
      </c>
      <c r="AC55" s="2" t="s">
        <v>426</v>
      </c>
    </row>
    <row r="56" spans="1:30" ht="18.95" customHeight="1">
      <c r="A56" s="151" t="s">
        <v>417</v>
      </c>
      <c r="B56" s="188" t="s">
        <v>431</v>
      </c>
      <c r="C56" s="151"/>
      <c r="D56" s="1" t="s">
        <v>76</v>
      </c>
      <c r="E56" s="4"/>
      <c r="F56" s="1" t="s">
        <v>51</v>
      </c>
      <c r="G56" s="224" t="s">
        <v>432</v>
      </c>
      <c r="H56" s="224"/>
      <c r="I56" s="224"/>
      <c r="J56" s="1" t="s">
        <v>34</v>
      </c>
      <c r="K56" s="224"/>
      <c r="L56" s="135">
        <v>45994</v>
      </c>
      <c r="M56" s="135" t="s">
        <v>420</v>
      </c>
      <c r="N56" s="1"/>
      <c r="O56" s="135"/>
      <c r="P56" s="129" t="s">
        <v>38</v>
      </c>
      <c r="Q56" t="s">
        <v>421</v>
      </c>
      <c r="R56" s="225" t="s">
        <v>433</v>
      </c>
      <c r="S56" s="5" t="s">
        <v>272</v>
      </c>
      <c r="T56" s="225"/>
      <c r="U56" s="5"/>
      <c r="V56" s="130" t="s">
        <v>423</v>
      </c>
      <c r="W56" s="1" t="s">
        <v>424</v>
      </c>
      <c r="X56" s="130" t="s">
        <v>88</v>
      </c>
      <c r="Y56" s="1" t="s">
        <v>434</v>
      </c>
      <c r="Z56" s="1" t="s">
        <v>228</v>
      </c>
      <c r="AA56" s="4" t="s">
        <v>435</v>
      </c>
      <c r="AB56" s="4">
        <v>1</v>
      </c>
      <c r="AC56" s="2" t="s">
        <v>426</v>
      </c>
    </row>
    <row r="57" spans="1:30" ht="18.95" customHeight="1">
      <c r="A57" s="151" t="s">
        <v>417</v>
      </c>
      <c r="B57" s="188" t="s">
        <v>436</v>
      </c>
      <c r="C57" s="151"/>
      <c r="D57" s="1" t="s">
        <v>76</v>
      </c>
      <c r="E57" s="4"/>
      <c r="F57" s="1" t="s">
        <v>51</v>
      </c>
      <c r="G57" s="224" t="s">
        <v>437</v>
      </c>
      <c r="H57" s="224"/>
      <c r="I57" s="224"/>
      <c r="J57" s="1" t="s">
        <v>34</v>
      </c>
      <c r="K57" s="224"/>
      <c r="L57" s="135">
        <v>45994</v>
      </c>
      <c r="M57" s="135" t="s">
        <v>420</v>
      </c>
      <c r="N57" s="1"/>
      <c r="O57" s="135"/>
      <c r="P57" s="129" t="s">
        <v>38</v>
      </c>
      <c r="Q57" t="s">
        <v>421</v>
      </c>
      <c r="R57" s="225" t="s">
        <v>438</v>
      </c>
      <c r="S57" s="5" t="s">
        <v>272</v>
      </c>
      <c r="T57" s="225"/>
      <c r="U57" s="5"/>
      <c r="V57" s="130" t="s">
        <v>423</v>
      </c>
      <c r="W57" s="1" t="s">
        <v>424</v>
      </c>
      <c r="X57" s="130" t="s">
        <v>88</v>
      </c>
      <c r="Y57" s="1" t="s">
        <v>439</v>
      </c>
      <c r="Z57" s="1" t="s">
        <v>228</v>
      </c>
      <c r="AA57" s="4" t="s">
        <v>440</v>
      </c>
      <c r="AB57" s="4">
        <v>1</v>
      </c>
      <c r="AC57" s="2" t="s">
        <v>426</v>
      </c>
    </row>
    <row r="58" spans="1:30" ht="18.95" customHeight="1">
      <c r="A58" s="151" t="s">
        <v>417</v>
      </c>
      <c r="B58" s="188" t="s">
        <v>441</v>
      </c>
      <c r="C58" s="151"/>
      <c r="D58" s="1" t="s">
        <v>76</v>
      </c>
      <c r="E58" s="4"/>
      <c r="F58" s="1" t="s">
        <v>51</v>
      </c>
      <c r="G58" s="224" t="s">
        <v>166</v>
      </c>
      <c r="H58" s="224"/>
      <c r="I58" s="224"/>
      <c r="J58" s="1" t="s">
        <v>34</v>
      </c>
      <c r="K58" s="224"/>
      <c r="L58" s="135">
        <v>45994</v>
      </c>
      <c r="M58" s="135" t="s">
        <v>420</v>
      </c>
      <c r="N58" s="1"/>
      <c r="O58" s="135"/>
      <c r="P58" s="129" t="s">
        <v>38</v>
      </c>
      <c r="Q58" t="s">
        <v>421</v>
      </c>
      <c r="R58" s="225" t="s">
        <v>442</v>
      </c>
      <c r="S58" s="5" t="s">
        <v>272</v>
      </c>
      <c r="T58" s="225"/>
      <c r="U58" s="5"/>
      <c r="V58" s="130" t="s">
        <v>423</v>
      </c>
      <c r="W58" s="1" t="s">
        <v>424</v>
      </c>
      <c r="X58" s="130" t="s">
        <v>88</v>
      </c>
      <c r="Y58" s="1" t="s">
        <v>443</v>
      </c>
      <c r="Z58" s="1" t="s">
        <v>228</v>
      </c>
      <c r="AA58" s="4" t="s">
        <v>444</v>
      </c>
      <c r="AB58" s="4">
        <v>1</v>
      </c>
      <c r="AC58" s="2" t="s">
        <v>426</v>
      </c>
    </row>
    <row r="59" spans="1:30" ht="18.95" customHeight="1">
      <c r="A59" s="151" t="s">
        <v>417</v>
      </c>
      <c r="B59" s="188" t="s">
        <v>445</v>
      </c>
      <c r="C59" s="151"/>
      <c r="D59" s="1" t="s">
        <v>76</v>
      </c>
      <c r="E59" s="4"/>
      <c r="F59" s="1" t="s">
        <v>51</v>
      </c>
      <c r="G59" s="224" t="s">
        <v>446</v>
      </c>
      <c r="H59" s="224"/>
      <c r="I59" s="224"/>
      <c r="J59" s="1" t="s">
        <v>34</v>
      </c>
      <c r="K59" s="224"/>
      <c r="L59" s="135">
        <v>45994</v>
      </c>
      <c r="M59" s="135" t="s">
        <v>420</v>
      </c>
      <c r="N59" s="1"/>
      <c r="O59" s="135"/>
      <c r="P59" s="129" t="s">
        <v>38</v>
      </c>
      <c r="Q59" t="s">
        <v>421</v>
      </c>
      <c r="R59" s="225" t="s">
        <v>447</v>
      </c>
      <c r="S59" s="5" t="s">
        <v>272</v>
      </c>
      <c r="T59" s="225"/>
      <c r="U59" s="5"/>
      <c r="V59" s="130" t="s">
        <v>423</v>
      </c>
      <c r="W59" s="1" t="s">
        <v>424</v>
      </c>
      <c r="X59" s="130" t="s">
        <v>88</v>
      </c>
      <c r="Y59" s="1" t="s">
        <v>448</v>
      </c>
      <c r="Z59" s="1" t="s">
        <v>228</v>
      </c>
      <c r="AA59" s="4" t="s">
        <v>449</v>
      </c>
      <c r="AB59" s="4">
        <v>1</v>
      </c>
      <c r="AC59" s="2" t="s">
        <v>426</v>
      </c>
    </row>
    <row r="60" spans="1:30" ht="18.95" customHeight="1">
      <c r="A60" s="151" t="s">
        <v>417</v>
      </c>
      <c r="B60" s="188" t="s">
        <v>450</v>
      </c>
      <c r="C60" s="151"/>
      <c r="D60" s="1" t="s">
        <v>76</v>
      </c>
      <c r="E60" s="4"/>
      <c r="F60" s="1" t="s">
        <v>51</v>
      </c>
      <c r="G60" s="224" t="s">
        <v>451</v>
      </c>
      <c r="H60" s="224"/>
      <c r="I60" s="224"/>
      <c r="J60" s="1" t="s">
        <v>34</v>
      </c>
      <c r="K60" s="224"/>
      <c r="L60" s="135">
        <v>45994</v>
      </c>
      <c r="M60" s="135" t="s">
        <v>420</v>
      </c>
      <c r="N60" s="1"/>
      <c r="O60" s="135"/>
      <c r="P60" s="129" t="s">
        <v>38</v>
      </c>
      <c r="Q60" t="s">
        <v>421</v>
      </c>
      <c r="R60" s="225" t="s">
        <v>452</v>
      </c>
      <c r="S60" s="5" t="s">
        <v>272</v>
      </c>
      <c r="T60" s="225"/>
      <c r="U60" s="5"/>
      <c r="V60" s="130" t="s">
        <v>423</v>
      </c>
      <c r="W60" s="1" t="s">
        <v>424</v>
      </c>
      <c r="X60" s="130" t="s">
        <v>88</v>
      </c>
      <c r="Y60" s="1" t="s">
        <v>453</v>
      </c>
      <c r="Z60" s="1" t="s">
        <v>228</v>
      </c>
      <c r="AA60" s="4" t="s">
        <v>454</v>
      </c>
      <c r="AB60" s="4">
        <v>1</v>
      </c>
      <c r="AC60" s="2" t="s">
        <v>426</v>
      </c>
    </row>
    <row r="61" spans="1:30" ht="18.95" customHeight="1">
      <c r="A61" s="151" t="s">
        <v>417</v>
      </c>
      <c r="B61" s="188" t="s">
        <v>455</v>
      </c>
      <c r="C61" s="151"/>
      <c r="D61" s="1" t="s">
        <v>76</v>
      </c>
      <c r="E61" s="4"/>
      <c r="F61" s="1" t="s">
        <v>51</v>
      </c>
      <c r="G61" s="224" t="s">
        <v>456</v>
      </c>
      <c r="H61" s="224"/>
      <c r="I61" s="224"/>
      <c r="J61" s="1" t="s">
        <v>34</v>
      </c>
      <c r="K61" s="224"/>
      <c r="L61" s="135">
        <v>45994</v>
      </c>
      <c r="M61" s="135" t="s">
        <v>420</v>
      </c>
      <c r="N61" s="1"/>
      <c r="O61" s="135"/>
      <c r="P61" s="129" t="s">
        <v>38</v>
      </c>
      <c r="Q61" t="s">
        <v>421</v>
      </c>
      <c r="R61" s="225" t="s">
        <v>457</v>
      </c>
      <c r="S61" s="5" t="s">
        <v>272</v>
      </c>
      <c r="T61" s="225"/>
      <c r="U61" s="5"/>
      <c r="V61" s="130" t="s">
        <v>423</v>
      </c>
      <c r="W61" s="1" t="s">
        <v>424</v>
      </c>
      <c r="X61" s="1" t="s">
        <v>458</v>
      </c>
      <c r="Y61" s="1"/>
      <c r="Z61" s="1" t="s">
        <v>228</v>
      </c>
      <c r="AA61" s="4" t="s">
        <v>459</v>
      </c>
      <c r="AB61" s="4">
        <v>1</v>
      </c>
      <c r="AC61" s="2" t="s">
        <v>426</v>
      </c>
    </row>
    <row r="62" spans="1:30" ht="18.95" customHeight="1">
      <c r="A62" s="151" t="s">
        <v>417</v>
      </c>
      <c r="B62" s="188" t="s">
        <v>460</v>
      </c>
      <c r="C62" s="151"/>
      <c r="D62" s="1" t="s">
        <v>76</v>
      </c>
      <c r="E62" s="4"/>
      <c r="F62" s="1" t="s">
        <v>51</v>
      </c>
      <c r="G62" s="224" t="s">
        <v>461</v>
      </c>
      <c r="H62" s="224"/>
      <c r="I62" s="224"/>
      <c r="J62" s="1" t="s">
        <v>34</v>
      </c>
      <c r="K62" s="224"/>
      <c r="L62" s="135">
        <v>45994</v>
      </c>
      <c r="M62" s="135" t="s">
        <v>420</v>
      </c>
      <c r="N62" s="1"/>
      <c r="O62" s="135"/>
      <c r="P62" s="129" t="s">
        <v>38</v>
      </c>
      <c r="Q62" t="s">
        <v>421</v>
      </c>
      <c r="R62" s="225" t="s">
        <v>462</v>
      </c>
      <c r="S62" s="5" t="s">
        <v>272</v>
      </c>
      <c r="T62" s="225"/>
      <c r="U62" s="5"/>
      <c r="V62" s="130" t="s">
        <v>423</v>
      </c>
      <c r="W62" s="1" t="s">
        <v>424</v>
      </c>
      <c r="X62" s="130" t="s">
        <v>88</v>
      </c>
      <c r="Y62" s="1" t="s">
        <v>463</v>
      </c>
      <c r="Z62" s="1" t="s">
        <v>228</v>
      </c>
      <c r="AA62" s="4" t="s">
        <v>464</v>
      </c>
      <c r="AB62" s="4">
        <v>1</v>
      </c>
      <c r="AC62" s="2" t="s">
        <v>426</v>
      </c>
    </row>
    <row r="63" spans="1:30" ht="18.95" customHeight="1">
      <c r="A63" s="151" t="s">
        <v>417</v>
      </c>
      <c r="B63" s="188" t="s">
        <v>465</v>
      </c>
      <c r="C63" s="151"/>
      <c r="D63" s="1" t="s">
        <v>76</v>
      </c>
      <c r="E63" s="4"/>
      <c r="F63" s="1" t="s">
        <v>51</v>
      </c>
      <c r="G63" s="224" t="s">
        <v>207</v>
      </c>
      <c r="H63" s="224"/>
      <c r="I63" s="224" t="s">
        <v>72</v>
      </c>
      <c r="J63" s="1" t="s">
        <v>34</v>
      </c>
      <c r="K63" s="224"/>
      <c r="L63" s="135">
        <v>45994</v>
      </c>
      <c r="M63" s="135" t="s">
        <v>420</v>
      </c>
      <c r="N63" s="1"/>
      <c r="O63" s="135"/>
      <c r="P63" s="129" t="s">
        <v>38</v>
      </c>
      <c r="Q63" t="s">
        <v>421</v>
      </c>
      <c r="R63" s="225" t="s">
        <v>466</v>
      </c>
      <c r="S63" s="5" t="s">
        <v>272</v>
      </c>
      <c r="T63" s="225"/>
      <c r="U63" s="5"/>
      <c r="V63" s="130" t="s">
        <v>423</v>
      </c>
      <c r="W63" s="1" t="s">
        <v>424</v>
      </c>
      <c r="X63" s="1" t="s">
        <v>467</v>
      </c>
      <c r="Y63" s="1" t="s">
        <v>468</v>
      </c>
      <c r="Z63" s="1" t="s">
        <v>228</v>
      </c>
      <c r="AA63" s="4">
        <v>1195115664</v>
      </c>
      <c r="AB63" s="4">
        <v>1</v>
      </c>
      <c r="AC63" s="2" t="s">
        <v>426</v>
      </c>
    </row>
    <row r="64" spans="1:30" ht="18.95" customHeight="1">
      <c r="A64" s="151" t="s">
        <v>417</v>
      </c>
      <c r="B64" s="188" t="s">
        <v>469</v>
      </c>
      <c r="C64" s="151"/>
      <c r="D64" s="1" t="s">
        <v>76</v>
      </c>
      <c r="E64" s="4"/>
      <c r="F64" s="1" t="s">
        <v>51</v>
      </c>
      <c r="G64" s="224" t="s">
        <v>470</v>
      </c>
      <c r="H64" s="224"/>
      <c r="I64" s="224"/>
      <c r="J64" s="1" t="s">
        <v>34</v>
      </c>
      <c r="K64" s="224"/>
      <c r="L64" s="135">
        <v>45994</v>
      </c>
      <c r="M64" s="135" t="s">
        <v>420</v>
      </c>
      <c r="N64" s="1"/>
      <c r="O64" s="135"/>
      <c r="P64" s="129" t="s">
        <v>38</v>
      </c>
      <c r="Q64" t="s">
        <v>421</v>
      </c>
      <c r="R64" s="225" t="s">
        <v>471</v>
      </c>
      <c r="S64" s="5" t="s">
        <v>272</v>
      </c>
      <c r="T64" s="225"/>
      <c r="U64" s="5"/>
      <c r="V64" s="130" t="s">
        <v>423</v>
      </c>
      <c r="W64" s="1" t="s">
        <v>424</v>
      </c>
      <c r="X64" s="130" t="s">
        <v>88</v>
      </c>
      <c r="Y64" s="1" t="s">
        <v>472</v>
      </c>
      <c r="Z64" s="1" t="s">
        <v>228</v>
      </c>
      <c r="AA64" s="4" t="s">
        <v>473</v>
      </c>
      <c r="AB64" s="4">
        <v>1</v>
      </c>
      <c r="AC64" s="2" t="s">
        <v>426</v>
      </c>
    </row>
    <row r="65" spans="1:30" ht="18.95" customHeight="1">
      <c r="A65" s="151" t="s">
        <v>417</v>
      </c>
      <c r="B65" s="188" t="s">
        <v>474</v>
      </c>
      <c r="C65" s="151"/>
      <c r="D65" s="1" t="s">
        <v>76</v>
      </c>
      <c r="E65" s="4"/>
      <c r="F65" s="1" t="s">
        <v>51</v>
      </c>
      <c r="G65" s="224" t="s">
        <v>475</v>
      </c>
      <c r="H65" s="224"/>
      <c r="I65" s="224" t="s">
        <v>476</v>
      </c>
      <c r="J65" s="1" t="s">
        <v>34</v>
      </c>
      <c r="K65" s="224"/>
      <c r="L65" s="135">
        <v>45994</v>
      </c>
      <c r="M65" s="135" t="s">
        <v>420</v>
      </c>
      <c r="N65" s="1"/>
      <c r="O65" s="135"/>
      <c r="P65" s="129" t="s">
        <v>38</v>
      </c>
      <c r="Q65" t="s">
        <v>421</v>
      </c>
      <c r="R65" s="225" t="s">
        <v>477</v>
      </c>
      <c r="S65" s="5" t="s">
        <v>272</v>
      </c>
      <c r="T65" s="225"/>
      <c r="U65" s="5"/>
      <c r="V65" s="130" t="s">
        <v>423</v>
      </c>
      <c r="W65" s="1" t="s">
        <v>424</v>
      </c>
      <c r="X65" s="130" t="s">
        <v>88</v>
      </c>
      <c r="Y65" s="1" t="s">
        <v>478</v>
      </c>
      <c r="Z65" s="1" t="s">
        <v>228</v>
      </c>
      <c r="AA65" s="4" t="s">
        <v>479</v>
      </c>
      <c r="AB65" s="4">
        <v>1</v>
      </c>
      <c r="AC65" s="2" t="s">
        <v>426</v>
      </c>
    </row>
    <row r="66" spans="1:30" ht="18.95" customHeight="1">
      <c r="A66" s="151" t="s">
        <v>417</v>
      </c>
      <c r="B66" s="188" t="s">
        <v>480</v>
      </c>
      <c r="C66" s="151"/>
      <c r="D66" s="1" t="s">
        <v>76</v>
      </c>
      <c r="E66" s="4"/>
      <c r="F66" s="1" t="s">
        <v>51</v>
      </c>
      <c r="G66" s="224" t="s">
        <v>481</v>
      </c>
      <c r="H66" s="224"/>
      <c r="I66" s="224"/>
      <c r="J66" s="1" t="s">
        <v>34</v>
      </c>
      <c r="K66" s="224"/>
      <c r="L66" s="135">
        <v>45994</v>
      </c>
      <c r="M66" s="135" t="s">
        <v>420</v>
      </c>
      <c r="N66" s="1"/>
      <c r="O66" s="135"/>
      <c r="P66" s="129" t="s">
        <v>38</v>
      </c>
      <c r="Q66" t="s">
        <v>421</v>
      </c>
      <c r="R66" t="s">
        <v>482</v>
      </c>
      <c r="S66" s="5" t="s">
        <v>272</v>
      </c>
      <c r="T66"/>
      <c r="U66" s="5"/>
      <c r="V66" s="130" t="s">
        <v>423</v>
      </c>
      <c r="W66" s="1" t="s">
        <v>424</v>
      </c>
      <c r="X66" s="130" t="s">
        <v>88</v>
      </c>
      <c r="Y66" s="1" t="s">
        <v>483</v>
      </c>
      <c r="Z66" s="1" t="s">
        <v>228</v>
      </c>
      <c r="AA66" s="4" t="s">
        <v>484</v>
      </c>
      <c r="AB66" s="4">
        <v>1</v>
      </c>
      <c r="AC66" s="2" t="s">
        <v>426</v>
      </c>
    </row>
    <row r="67" spans="1:30" ht="18.95" customHeight="1">
      <c r="A67" s="151" t="s">
        <v>417</v>
      </c>
      <c r="B67" s="188" t="s">
        <v>485</v>
      </c>
      <c r="C67" s="151"/>
      <c r="D67" s="1" t="s">
        <v>76</v>
      </c>
      <c r="E67" s="4"/>
      <c r="F67" s="1" t="s">
        <v>51</v>
      </c>
      <c r="G67" s="224" t="s">
        <v>486</v>
      </c>
      <c r="H67" s="224"/>
      <c r="I67" s="224"/>
      <c r="J67" s="1" t="s">
        <v>34</v>
      </c>
      <c r="K67" s="224"/>
      <c r="L67" s="135">
        <v>45994</v>
      </c>
      <c r="M67" s="135" t="s">
        <v>420</v>
      </c>
      <c r="N67" s="1"/>
      <c r="O67" s="135"/>
      <c r="P67" s="129" t="s">
        <v>38</v>
      </c>
      <c r="Q67" t="s">
        <v>421</v>
      </c>
      <c r="R67" t="s">
        <v>487</v>
      </c>
      <c r="S67" s="5" t="s">
        <v>272</v>
      </c>
      <c r="T67"/>
      <c r="U67" s="5"/>
      <c r="V67" s="130" t="s">
        <v>423</v>
      </c>
      <c r="W67" s="1" t="s">
        <v>424</v>
      </c>
      <c r="X67" s="130" t="s">
        <v>88</v>
      </c>
      <c r="Y67" s="1" t="s">
        <v>488</v>
      </c>
      <c r="Z67" s="1" t="s">
        <v>228</v>
      </c>
      <c r="AA67" s="4" t="s">
        <v>489</v>
      </c>
      <c r="AB67" s="4">
        <v>1</v>
      </c>
      <c r="AC67" s="2" t="s">
        <v>426</v>
      </c>
    </row>
    <row r="68" spans="1:30" s="247" customFormat="1" ht="18.95" customHeight="1">
      <c r="A68" s="242" t="s">
        <v>490</v>
      </c>
      <c r="B68" s="243" t="s">
        <v>491</v>
      </c>
      <c r="C68" s="242"/>
      <c r="D68" s="243" t="s">
        <v>371</v>
      </c>
      <c r="E68" s="244"/>
      <c r="F68" s="243" t="s">
        <v>32</v>
      </c>
      <c r="G68" s="60" t="s">
        <v>492</v>
      </c>
      <c r="H68" s="242"/>
      <c r="I68" s="242" t="s">
        <v>493</v>
      </c>
      <c r="J68" s="243" t="s">
        <v>34</v>
      </c>
      <c r="K68" s="242"/>
      <c r="L68" s="245">
        <v>45056</v>
      </c>
      <c r="M68" s="245" t="s">
        <v>374</v>
      </c>
      <c r="N68" s="243"/>
      <c r="O68" s="242" t="s">
        <v>494</v>
      </c>
      <c r="P68" s="246" t="s">
        <v>177</v>
      </c>
      <c r="Q68" s="247" t="s">
        <v>495</v>
      </c>
      <c r="R68" s="247" t="s">
        <v>496</v>
      </c>
      <c r="S68" s="242" t="s">
        <v>59</v>
      </c>
      <c r="U68" s="242"/>
      <c r="V68" s="248" t="s">
        <v>86</v>
      </c>
      <c r="W68" s="243" t="s">
        <v>424</v>
      </c>
      <c r="X68" s="243"/>
      <c r="Y68" s="249" t="s">
        <v>497</v>
      </c>
      <c r="Z68" s="243" t="s">
        <v>228</v>
      </c>
      <c r="AA68" s="244" t="s">
        <v>498</v>
      </c>
      <c r="AB68" s="244" t="s">
        <v>499</v>
      </c>
      <c r="AC68" s="247" t="s">
        <v>368</v>
      </c>
      <c r="AD68" s="244"/>
    </row>
    <row r="69" spans="1:30" s="247" customFormat="1" ht="18.95" customHeight="1">
      <c r="A69" s="242" t="s">
        <v>490</v>
      </c>
      <c r="B69" s="243" t="s">
        <v>500</v>
      </c>
      <c r="C69" s="242"/>
      <c r="D69" s="243" t="s">
        <v>371</v>
      </c>
      <c r="E69" s="244"/>
      <c r="F69" s="243" t="s">
        <v>32</v>
      </c>
      <c r="G69" s="176" t="s">
        <v>325</v>
      </c>
      <c r="H69" s="242" t="s">
        <v>501</v>
      </c>
      <c r="I69" s="242" t="s">
        <v>502</v>
      </c>
      <c r="J69" s="243" t="s">
        <v>34</v>
      </c>
      <c r="K69" s="242"/>
      <c r="L69" s="245">
        <v>45056</v>
      </c>
      <c r="M69" s="245" t="s">
        <v>374</v>
      </c>
      <c r="N69" s="243"/>
      <c r="O69" s="242" t="s">
        <v>503</v>
      </c>
      <c r="P69" s="246" t="s">
        <v>177</v>
      </c>
      <c r="Q69" s="247" t="s">
        <v>495</v>
      </c>
      <c r="R69" s="247" t="s">
        <v>504</v>
      </c>
      <c r="S69" s="242" t="s">
        <v>59</v>
      </c>
      <c r="U69" s="242"/>
      <c r="V69" s="248" t="s">
        <v>86</v>
      </c>
      <c r="W69" s="243" t="s">
        <v>424</v>
      </c>
      <c r="X69" s="243"/>
      <c r="Y69" s="249" t="s">
        <v>505</v>
      </c>
      <c r="Z69" s="243" t="s">
        <v>228</v>
      </c>
      <c r="AA69" s="244" t="s">
        <v>506</v>
      </c>
      <c r="AB69" s="244" t="s">
        <v>499</v>
      </c>
      <c r="AC69" s="247" t="s">
        <v>368</v>
      </c>
      <c r="AD69" s="244"/>
    </row>
    <row r="70" spans="1:30" s="247" customFormat="1" ht="18.95" customHeight="1">
      <c r="A70" s="242" t="s">
        <v>490</v>
      </c>
      <c r="B70" s="243" t="s">
        <v>507</v>
      </c>
      <c r="C70" s="242"/>
      <c r="D70" s="243" t="s">
        <v>371</v>
      </c>
      <c r="E70" s="244"/>
      <c r="F70" s="243" t="s">
        <v>32</v>
      </c>
      <c r="G70" s="176" t="s">
        <v>325</v>
      </c>
      <c r="H70" s="242"/>
      <c r="I70" s="242" t="s">
        <v>508</v>
      </c>
      <c r="J70" s="243" t="s">
        <v>34</v>
      </c>
      <c r="K70" s="242"/>
      <c r="L70" s="245">
        <v>45056</v>
      </c>
      <c r="M70" s="245" t="s">
        <v>374</v>
      </c>
      <c r="N70" s="243"/>
      <c r="O70" s="242" t="s">
        <v>509</v>
      </c>
      <c r="P70" s="246" t="s">
        <v>177</v>
      </c>
      <c r="Q70" s="247" t="s">
        <v>495</v>
      </c>
      <c r="R70" s="247" t="s">
        <v>510</v>
      </c>
      <c r="S70" s="242" t="s">
        <v>59</v>
      </c>
      <c r="U70" s="242"/>
      <c r="V70" s="248" t="s">
        <v>86</v>
      </c>
      <c r="W70" s="243" t="s">
        <v>424</v>
      </c>
      <c r="X70" s="243"/>
      <c r="Y70" s="249"/>
      <c r="Z70" s="243" t="s">
        <v>228</v>
      </c>
      <c r="AA70" s="244" t="s">
        <v>511</v>
      </c>
      <c r="AB70" s="244" t="s">
        <v>499</v>
      </c>
      <c r="AC70" s="247" t="s">
        <v>368</v>
      </c>
      <c r="AD70" s="244"/>
    </row>
    <row r="71" spans="1:30" s="247" customFormat="1" ht="18.95" customHeight="1">
      <c r="A71" s="242" t="s">
        <v>490</v>
      </c>
      <c r="B71" s="243" t="s">
        <v>512</v>
      </c>
      <c r="C71" s="242"/>
      <c r="D71" s="243" t="s">
        <v>371</v>
      </c>
      <c r="E71" s="244"/>
      <c r="F71" s="243" t="s">
        <v>32</v>
      </c>
      <c r="G71" s="176" t="s">
        <v>325</v>
      </c>
      <c r="H71" s="242" t="s">
        <v>513</v>
      </c>
      <c r="I71" s="242" t="s">
        <v>514</v>
      </c>
      <c r="J71" s="243" t="s">
        <v>34</v>
      </c>
      <c r="K71" s="242"/>
      <c r="L71" s="245">
        <v>45056</v>
      </c>
      <c r="M71" s="245" t="s">
        <v>374</v>
      </c>
      <c r="N71" s="243"/>
      <c r="O71" s="242" t="s">
        <v>515</v>
      </c>
      <c r="P71" s="246" t="s">
        <v>177</v>
      </c>
      <c r="Q71" s="247" t="s">
        <v>495</v>
      </c>
      <c r="R71" s="247" t="s">
        <v>516</v>
      </c>
      <c r="S71" s="242" t="s">
        <v>59</v>
      </c>
      <c r="U71" s="242"/>
      <c r="V71" s="248" t="s">
        <v>86</v>
      </c>
      <c r="W71" s="243" t="s">
        <v>424</v>
      </c>
      <c r="X71" s="243" t="s">
        <v>517</v>
      </c>
      <c r="Y71" s="249" t="s">
        <v>518</v>
      </c>
      <c r="Z71" s="243" t="s">
        <v>228</v>
      </c>
      <c r="AA71" s="244" t="s">
        <v>519</v>
      </c>
      <c r="AB71" s="244" t="s">
        <v>499</v>
      </c>
      <c r="AC71" s="247" t="s">
        <v>368</v>
      </c>
      <c r="AD71" s="244"/>
    </row>
    <row r="72" spans="1:30" s="247" customFormat="1" ht="18.95" customHeight="1">
      <c r="A72" s="242" t="s">
        <v>490</v>
      </c>
      <c r="B72" s="243" t="s">
        <v>520</v>
      </c>
      <c r="C72" s="242"/>
      <c r="D72" s="243" t="s">
        <v>371</v>
      </c>
      <c r="E72" s="244"/>
      <c r="F72" s="243" t="s">
        <v>32</v>
      </c>
      <c r="G72" s="60" t="s">
        <v>325</v>
      </c>
      <c r="H72" s="242"/>
      <c r="I72" s="242" t="s">
        <v>521</v>
      </c>
      <c r="J72" s="243" t="s">
        <v>34</v>
      </c>
      <c r="K72" s="242"/>
      <c r="L72" s="245">
        <v>45056</v>
      </c>
      <c r="M72" s="245" t="s">
        <v>374</v>
      </c>
      <c r="N72" s="243"/>
      <c r="O72" s="242" t="s">
        <v>522</v>
      </c>
      <c r="P72" s="246" t="s">
        <v>177</v>
      </c>
      <c r="Q72" s="247" t="s">
        <v>495</v>
      </c>
      <c r="R72" s="247" t="s">
        <v>523</v>
      </c>
      <c r="S72" s="242" t="s">
        <v>59</v>
      </c>
      <c r="U72" s="242"/>
      <c r="V72" s="248" t="s">
        <v>86</v>
      </c>
      <c r="W72" s="243" t="s">
        <v>424</v>
      </c>
      <c r="X72" s="243" t="s">
        <v>253</v>
      </c>
      <c r="Y72" s="249"/>
      <c r="Z72" s="243" t="s">
        <v>228</v>
      </c>
      <c r="AA72" s="244" t="s">
        <v>524</v>
      </c>
      <c r="AB72" s="244" t="s">
        <v>499</v>
      </c>
      <c r="AC72" s="247" t="s">
        <v>368</v>
      </c>
      <c r="AD72" s="244"/>
    </row>
    <row r="73" spans="1:30" s="247" customFormat="1" ht="18.95" customHeight="1">
      <c r="A73" s="242" t="s">
        <v>490</v>
      </c>
      <c r="B73" s="243" t="s">
        <v>525</v>
      </c>
      <c r="C73" s="242"/>
      <c r="D73" s="243" t="s">
        <v>371</v>
      </c>
      <c r="E73" s="244"/>
      <c r="F73" s="243" t="s">
        <v>32</v>
      </c>
      <c r="G73" s="176" t="s">
        <v>325</v>
      </c>
      <c r="H73" s="242" t="s">
        <v>526</v>
      </c>
      <c r="I73" s="242" t="s">
        <v>261</v>
      </c>
      <c r="J73" s="243" t="s">
        <v>34</v>
      </c>
      <c r="K73" s="242"/>
      <c r="L73" s="245">
        <v>45056</v>
      </c>
      <c r="M73" s="245" t="s">
        <v>374</v>
      </c>
      <c r="N73" s="243"/>
      <c r="O73" s="242" t="s">
        <v>527</v>
      </c>
      <c r="P73" s="246" t="s">
        <v>177</v>
      </c>
      <c r="Q73" s="247" t="s">
        <v>495</v>
      </c>
      <c r="R73" s="249" t="s">
        <v>528</v>
      </c>
      <c r="S73" s="242" t="s">
        <v>59</v>
      </c>
      <c r="T73" s="249"/>
      <c r="U73" s="242"/>
      <c r="V73" s="248" t="s">
        <v>86</v>
      </c>
      <c r="W73" s="243" t="s">
        <v>424</v>
      </c>
      <c r="X73" s="243"/>
      <c r="Y73" s="249" t="s">
        <v>529</v>
      </c>
      <c r="Z73" s="243" t="s">
        <v>228</v>
      </c>
      <c r="AA73" s="244" t="s">
        <v>530</v>
      </c>
      <c r="AB73" s="244" t="s">
        <v>499</v>
      </c>
      <c r="AC73" s="247" t="s">
        <v>368</v>
      </c>
      <c r="AD73" s="244"/>
    </row>
    <row r="74" spans="1:30" s="247" customFormat="1" ht="18.95" customHeight="1">
      <c r="A74" s="242" t="s">
        <v>490</v>
      </c>
      <c r="B74" s="243" t="s">
        <v>531</v>
      </c>
      <c r="C74" s="242"/>
      <c r="D74" s="243" t="s">
        <v>371</v>
      </c>
      <c r="E74" s="244"/>
      <c r="F74" s="243" t="s">
        <v>32</v>
      </c>
      <c r="G74" s="176" t="s">
        <v>325</v>
      </c>
      <c r="H74" s="242"/>
      <c r="I74" s="242" t="s">
        <v>532</v>
      </c>
      <c r="J74" s="243" t="s">
        <v>34</v>
      </c>
      <c r="K74" s="242"/>
      <c r="L74" s="245">
        <v>45056</v>
      </c>
      <c r="M74" s="245" t="s">
        <v>374</v>
      </c>
      <c r="N74" s="243"/>
      <c r="O74" s="242" t="s">
        <v>533</v>
      </c>
      <c r="P74" s="246" t="s">
        <v>177</v>
      </c>
      <c r="Q74" s="247" t="s">
        <v>495</v>
      </c>
      <c r="R74" s="249" t="s">
        <v>534</v>
      </c>
      <c r="S74" s="242" t="s">
        <v>59</v>
      </c>
      <c r="T74" s="249"/>
      <c r="U74" s="242"/>
      <c r="V74" s="248" t="s">
        <v>86</v>
      </c>
      <c r="W74" s="243" t="s">
        <v>424</v>
      </c>
      <c r="X74" s="243" t="s">
        <v>535</v>
      </c>
      <c r="Y74" s="249" t="s">
        <v>536</v>
      </c>
      <c r="Z74" s="243" t="s">
        <v>228</v>
      </c>
      <c r="AA74" s="244" t="s">
        <v>537</v>
      </c>
      <c r="AB74" s="244" t="s">
        <v>499</v>
      </c>
      <c r="AC74" s="247" t="s">
        <v>368</v>
      </c>
      <c r="AD74" s="244"/>
    </row>
    <row r="75" spans="1:30" s="247" customFormat="1" ht="18.95" customHeight="1">
      <c r="A75" s="242" t="s">
        <v>490</v>
      </c>
      <c r="B75" s="243" t="s">
        <v>538</v>
      </c>
      <c r="C75" s="242"/>
      <c r="D75" s="243" t="s">
        <v>371</v>
      </c>
      <c r="E75" s="244" t="s">
        <v>539</v>
      </c>
      <c r="F75" s="243" t="s">
        <v>32</v>
      </c>
      <c r="G75" s="176" t="s">
        <v>325</v>
      </c>
      <c r="H75" s="242"/>
      <c r="I75" s="242" t="s">
        <v>540</v>
      </c>
      <c r="J75" s="243" t="s">
        <v>34</v>
      </c>
      <c r="K75" s="242"/>
      <c r="L75" s="245">
        <v>45056</v>
      </c>
      <c r="M75" s="245" t="s">
        <v>374</v>
      </c>
      <c r="N75" s="243"/>
      <c r="O75" s="242" t="s">
        <v>541</v>
      </c>
      <c r="P75" s="246" t="s">
        <v>177</v>
      </c>
      <c r="Q75" s="247" t="s">
        <v>495</v>
      </c>
      <c r="R75" s="249" t="s">
        <v>542</v>
      </c>
      <c r="S75" s="242" t="s">
        <v>59</v>
      </c>
      <c r="T75" s="249"/>
      <c r="U75" s="242"/>
      <c r="V75" s="248" t="s">
        <v>86</v>
      </c>
      <c r="W75" s="243" t="s">
        <v>424</v>
      </c>
      <c r="X75" s="243"/>
      <c r="Y75" s="249"/>
      <c r="Z75" s="243" t="s">
        <v>228</v>
      </c>
      <c r="AA75" s="244" t="s">
        <v>543</v>
      </c>
      <c r="AB75" s="244" t="s">
        <v>499</v>
      </c>
      <c r="AC75" s="247" t="s">
        <v>368</v>
      </c>
      <c r="AD75" s="244"/>
    </row>
    <row r="76" spans="1:30" s="247" customFormat="1" ht="18.95" customHeight="1">
      <c r="A76" s="242" t="s">
        <v>490</v>
      </c>
      <c r="B76" s="243" t="s">
        <v>544</v>
      </c>
      <c r="C76" s="242"/>
      <c r="D76" s="243" t="s">
        <v>371</v>
      </c>
      <c r="E76" s="244" t="s">
        <v>545</v>
      </c>
      <c r="F76" s="243" t="s">
        <v>32</v>
      </c>
      <c r="G76" s="176" t="s">
        <v>325</v>
      </c>
      <c r="H76" s="242"/>
      <c r="I76" s="242" t="s">
        <v>546</v>
      </c>
      <c r="J76" s="243" t="s">
        <v>34</v>
      </c>
      <c r="K76" s="242"/>
      <c r="L76" s="245">
        <v>45056</v>
      </c>
      <c r="M76" s="245" t="s">
        <v>374</v>
      </c>
      <c r="N76" s="243"/>
      <c r="O76" s="242" t="s">
        <v>547</v>
      </c>
      <c r="P76" s="246" t="s">
        <v>177</v>
      </c>
      <c r="Q76" s="247" t="s">
        <v>495</v>
      </c>
      <c r="R76" s="249" t="s">
        <v>548</v>
      </c>
      <c r="S76" s="242" t="s">
        <v>272</v>
      </c>
      <c r="T76" s="249"/>
      <c r="U76" s="242"/>
      <c r="V76" s="248" t="s">
        <v>86</v>
      </c>
      <c r="W76" s="243" t="s">
        <v>424</v>
      </c>
      <c r="X76" s="243"/>
      <c r="Y76" s="250"/>
      <c r="Z76" s="243" t="s">
        <v>228</v>
      </c>
      <c r="AA76" s="244" t="s">
        <v>549</v>
      </c>
      <c r="AB76" s="244" t="s">
        <v>499</v>
      </c>
      <c r="AC76" s="247" t="s">
        <v>368</v>
      </c>
      <c r="AD76" s="244"/>
    </row>
    <row r="77" spans="1:30" s="247" customFormat="1" ht="18.95" customHeight="1">
      <c r="A77" s="242" t="s">
        <v>490</v>
      </c>
      <c r="B77" s="243" t="s">
        <v>550</v>
      </c>
      <c r="C77" s="242"/>
      <c r="D77" s="243" t="s">
        <v>371</v>
      </c>
      <c r="E77" s="244" t="s">
        <v>551</v>
      </c>
      <c r="F77" s="243" t="s">
        <v>32</v>
      </c>
      <c r="G77" s="176" t="s">
        <v>325</v>
      </c>
      <c r="H77" s="242"/>
      <c r="I77" s="242" t="s">
        <v>552</v>
      </c>
      <c r="J77" s="243" t="s">
        <v>34</v>
      </c>
      <c r="K77" s="242"/>
      <c r="L77" s="245">
        <v>45056</v>
      </c>
      <c r="M77" s="245" t="s">
        <v>374</v>
      </c>
      <c r="N77" s="243"/>
      <c r="O77" s="242" t="s">
        <v>553</v>
      </c>
      <c r="P77" s="246" t="s">
        <v>177</v>
      </c>
      <c r="Q77" s="247" t="s">
        <v>495</v>
      </c>
      <c r="R77" s="249" t="s">
        <v>554</v>
      </c>
      <c r="S77" s="242" t="s">
        <v>59</v>
      </c>
      <c r="T77" s="249"/>
      <c r="U77" s="242"/>
      <c r="V77" s="248" t="s">
        <v>86</v>
      </c>
      <c r="W77" s="243" t="s">
        <v>424</v>
      </c>
      <c r="X77" s="243" t="s">
        <v>467</v>
      </c>
      <c r="Y77" s="249" t="s">
        <v>555</v>
      </c>
      <c r="Z77" s="243" t="s">
        <v>228</v>
      </c>
      <c r="AA77" s="244" t="s">
        <v>556</v>
      </c>
      <c r="AB77" s="244" t="s">
        <v>499</v>
      </c>
      <c r="AC77" s="247" t="s">
        <v>368</v>
      </c>
      <c r="AD77" s="244"/>
    </row>
    <row r="78" spans="1:30" s="247" customFormat="1" ht="18.95" customHeight="1">
      <c r="A78" s="242" t="s">
        <v>490</v>
      </c>
      <c r="B78" s="243" t="s">
        <v>557</v>
      </c>
      <c r="C78" s="242"/>
      <c r="D78" s="243" t="s">
        <v>371</v>
      </c>
      <c r="E78" s="244" t="s">
        <v>558</v>
      </c>
      <c r="F78" s="243" t="s">
        <v>32</v>
      </c>
      <c r="G78" s="176" t="s">
        <v>325</v>
      </c>
      <c r="H78" s="242"/>
      <c r="I78" s="242" t="s">
        <v>559</v>
      </c>
      <c r="J78" s="243" t="s">
        <v>34</v>
      </c>
      <c r="K78" s="242"/>
      <c r="L78" s="245">
        <v>45056</v>
      </c>
      <c r="M78" s="245" t="s">
        <v>374</v>
      </c>
      <c r="N78" s="243"/>
      <c r="O78" s="242" t="s">
        <v>560</v>
      </c>
      <c r="P78" s="246" t="s">
        <v>177</v>
      </c>
      <c r="Q78" s="247" t="s">
        <v>495</v>
      </c>
      <c r="R78" s="249" t="s">
        <v>561</v>
      </c>
      <c r="S78" s="242" t="s">
        <v>59</v>
      </c>
      <c r="T78" s="249"/>
      <c r="U78" s="242"/>
      <c r="V78" s="248" t="s">
        <v>86</v>
      </c>
      <c r="W78" s="243" t="s">
        <v>424</v>
      </c>
      <c r="X78" s="243" t="s">
        <v>562</v>
      </c>
      <c r="Y78" s="249" t="s">
        <v>563</v>
      </c>
      <c r="Z78" s="243" t="s">
        <v>228</v>
      </c>
      <c r="AA78" s="244" t="s">
        <v>564</v>
      </c>
      <c r="AB78" s="244" t="s">
        <v>499</v>
      </c>
      <c r="AC78" s="247" t="s">
        <v>368</v>
      </c>
      <c r="AD78" s="244"/>
    </row>
    <row r="79" spans="1:30" s="247" customFormat="1" ht="18.95" customHeight="1">
      <c r="A79" s="242" t="s">
        <v>490</v>
      </c>
      <c r="B79" s="243" t="s">
        <v>565</v>
      </c>
      <c r="C79" s="242"/>
      <c r="D79" s="243" t="s">
        <v>371</v>
      </c>
      <c r="E79" s="244"/>
      <c r="F79" s="243" t="s">
        <v>32</v>
      </c>
      <c r="G79" s="176" t="s">
        <v>325</v>
      </c>
      <c r="H79" s="242"/>
      <c r="I79" s="242" t="s">
        <v>566</v>
      </c>
      <c r="J79" s="243" t="s">
        <v>34</v>
      </c>
      <c r="K79" s="242"/>
      <c r="L79" s="245">
        <v>45056</v>
      </c>
      <c r="M79" s="245" t="s">
        <v>374</v>
      </c>
      <c r="N79" s="243"/>
      <c r="O79" s="242" t="s">
        <v>567</v>
      </c>
      <c r="P79" s="246" t="s">
        <v>177</v>
      </c>
      <c r="Q79" s="247" t="s">
        <v>495</v>
      </c>
      <c r="R79" s="249" t="s">
        <v>568</v>
      </c>
      <c r="S79" s="242" t="s">
        <v>59</v>
      </c>
      <c r="T79" s="249"/>
      <c r="U79" s="242"/>
      <c r="V79" s="248" t="s">
        <v>86</v>
      </c>
      <c r="W79" s="243" t="s">
        <v>424</v>
      </c>
      <c r="X79" s="243" t="s">
        <v>562</v>
      </c>
      <c r="Y79" s="249" t="s">
        <v>569</v>
      </c>
      <c r="Z79" s="243" t="s">
        <v>228</v>
      </c>
      <c r="AA79" s="244" t="s">
        <v>570</v>
      </c>
      <c r="AB79" s="244" t="s">
        <v>499</v>
      </c>
      <c r="AC79" s="247" t="s">
        <v>368</v>
      </c>
      <c r="AD79" s="244"/>
    </row>
    <row r="80" spans="1:30" s="247" customFormat="1" ht="18.95" customHeight="1">
      <c r="A80" s="242" t="s">
        <v>490</v>
      </c>
      <c r="B80" s="243" t="s">
        <v>571</v>
      </c>
      <c r="C80" s="242"/>
      <c r="D80" s="243" t="s">
        <v>371</v>
      </c>
      <c r="E80" s="244" t="s">
        <v>572</v>
      </c>
      <c r="F80" s="243" t="s">
        <v>32</v>
      </c>
      <c r="G80" s="176" t="s">
        <v>325</v>
      </c>
      <c r="H80" s="242"/>
      <c r="I80" s="242" t="s">
        <v>502</v>
      </c>
      <c r="J80" s="243" t="s">
        <v>34</v>
      </c>
      <c r="K80" s="242"/>
      <c r="L80" s="245">
        <v>45056</v>
      </c>
      <c r="M80" s="245" t="s">
        <v>374</v>
      </c>
      <c r="N80" s="243"/>
      <c r="O80" s="242" t="s">
        <v>573</v>
      </c>
      <c r="P80" s="246" t="s">
        <v>177</v>
      </c>
      <c r="Q80" s="247" t="s">
        <v>495</v>
      </c>
      <c r="R80" s="249" t="s">
        <v>574</v>
      </c>
      <c r="S80" s="242" t="s">
        <v>59</v>
      </c>
      <c r="T80" s="249"/>
      <c r="U80" s="242"/>
      <c r="V80" s="248" t="s">
        <v>86</v>
      </c>
      <c r="W80" s="243" t="s">
        <v>424</v>
      </c>
      <c r="X80" s="243" t="s">
        <v>467</v>
      </c>
      <c r="Y80" s="249" t="s">
        <v>575</v>
      </c>
      <c r="Z80" s="243" t="s">
        <v>228</v>
      </c>
      <c r="AA80" s="244" t="s">
        <v>576</v>
      </c>
      <c r="AB80" s="244" t="s">
        <v>499</v>
      </c>
      <c r="AC80" s="247" t="s">
        <v>368</v>
      </c>
      <c r="AD80" s="244"/>
    </row>
    <row r="81" spans="1:30" s="247" customFormat="1" ht="18.95" customHeight="1">
      <c r="A81" s="242" t="s">
        <v>490</v>
      </c>
      <c r="B81" s="243" t="s">
        <v>577</v>
      </c>
      <c r="C81" s="242"/>
      <c r="D81" s="243" t="s">
        <v>371</v>
      </c>
      <c r="E81" s="244"/>
      <c r="F81" s="243" t="s">
        <v>32</v>
      </c>
      <c r="G81" s="176" t="s">
        <v>325</v>
      </c>
      <c r="H81" s="242" t="s">
        <v>578</v>
      </c>
      <c r="I81" s="242"/>
      <c r="J81" s="243" t="s">
        <v>34</v>
      </c>
      <c r="K81" s="242"/>
      <c r="L81" s="245">
        <v>45056</v>
      </c>
      <c r="M81" s="245" t="s">
        <v>374</v>
      </c>
      <c r="N81" s="243"/>
      <c r="O81" s="242" t="s">
        <v>579</v>
      </c>
      <c r="P81" s="246" t="s">
        <v>177</v>
      </c>
      <c r="Q81" s="247" t="s">
        <v>495</v>
      </c>
      <c r="R81" s="249" t="s">
        <v>580</v>
      </c>
      <c r="S81" s="242" t="s">
        <v>59</v>
      </c>
      <c r="T81" s="249"/>
      <c r="U81" s="242"/>
      <c r="V81" s="248" t="s">
        <v>86</v>
      </c>
      <c r="W81" s="243" t="s">
        <v>424</v>
      </c>
      <c r="X81" s="243" t="s">
        <v>562</v>
      </c>
      <c r="Y81" s="249" t="s">
        <v>581</v>
      </c>
      <c r="Z81" s="243" t="s">
        <v>228</v>
      </c>
      <c r="AA81" s="244" t="s">
        <v>582</v>
      </c>
      <c r="AB81" s="244" t="s">
        <v>499</v>
      </c>
      <c r="AC81" s="247" t="s">
        <v>368</v>
      </c>
      <c r="AD81" s="244"/>
    </row>
    <row r="82" spans="1:30" s="247" customFormat="1" ht="18.95" customHeight="1">
      <c r="A82" s="242" t="s">
        <v>490</v>
      </c>
      <c r="B82" s="243" t="s">
        <v>583</v>
      </c>
      <c r="C82" s="242"/>
      <c r="D82" s="243" t="s">
        <v>371</v>
      </c>
      <c r="E82" s="244"/>
      <c r="F82" s="243" t="s">
        <v>32</v>
      </c>
      <c r="G82" s="60" t="s">
        <v>325</v>
      </c>
      <c r="H82" s="242" t="s">
        <v>584</v>
      </c>
      <c r="I82" s="242" t="s">
        <v>287</v>
      </c>
      <c r="J82" s="243" t="s">
        <v>34</v>
      </c>
      <c r="K82" s="242"/>
      <c r="L82" s="245">
        <v>45056</v>
      </c>
      <c r="M82" s="245" t="s">
        <v>374</v>
      </c>
      <c r="N82" s="243"/>
      <c r="O82" s="242" t="s">
        <v>585</v>
      </c>
      <c r="P82" s="246" t="s">
        <v>177</v>
      </c>
      <c r="Q82" s="247" t="s">
        <v>495</v>
      </c>
      <c r="R82" s="249" t="s">
        <v>586</v>
      </c>
      <c r="S82" s="242" t="s">
        <v>59</v>
      </c>
      <c r="T82" s="249"/>
      <c r="U82" s="242"/>
      <c r="V82" s="248" t="s">
        <v>86</v>
      </c>
      <c r="W82" s="243" t="s">
        <v>424</v>
      </c>
      <c r="X82" s="243" t="s">
        <v>562</v>
      </c>
      <c r="Y82" s="249" t="s">
        <v>587</v>
      </c>
      <c r="Z82" s="243" t="s">
        <v>228</v>
      </c>
      <c r="AA82" s="244" t="s">
        <v>588</v>
      </c>
      <c r="AB82" s="244" t="s">
        <v>499</v>
      </c>
      <c r="AC82" s="247" t="s">
        <v>368</v>
      </c>
      <c r="AD82" s="244"/>
    </row>
    <row r="83" spans="1:30" s="247" customFormat="1" ht="18.95" customHeight="1">
      <c r="A83" s="242" t="s">
        <v>490</v>
      </c>
      <c r="B83" s="243" t="s">
        <v>589</v>
      </c>
      <c r="C83" s="242"/>
      <c r="D83" s="243" t="s">
        <v>371</v>
      </c>
      <c r="E83" s="244"/>
      <c r="F83" s="243" t="s">
        <v>32</v>
      </c>
      <c r="G83" s="176" t="s">
        <v>325</v>
      </c>
      <c r="H83" s="242"/>
      <c r="I83" s="242" t="s">
        <v>590</v>
      </c>
      <c r="J83" s="243" t="s">
        <v>34</v>
      </c>
      <c r="K83" s="242"/>
      <c r="L83" s="245">
        <v>45056</v>
      </c>
      <c r="M83" s="245" t="s">
        <v>374</v>
      </c>
      <c r="N83" s="243"/>
      <c r="O83" s="242" t="s">
        <v>591</v>
      </c>
      <c r="P83" s="246" t="s">
        <v>177</v>
      </c>
      <c r="Q83" s="247" t="s">
        <v>495</v>
      </c>
      <c r="R83" s="249" t="s">
        <v>592</v>
      </c>
      <c r="S83" s="242" t="s">
        <v>272</v>
      </c>
      <c r="T83" s="249"/>
      <c r="U83" s="242"/>
      <c r="V83" s="248" t="s">
        <v>86</v>
      </c>
      <c r="W83" s="243" t="s">
        <v>424</v>
      </c>
      <c r="X83" s="243" t="s">
        <v>562</v>
      </c>
      <c r="Y83" s="249" t="s">
        <v>593</v>
      </c>
      <c r="Z83" s="243" t="s">
        <v>228</v>
      </c>
      <c r="AA83" s="244" t="s">
        <v>594</v>
      </c>
      <c r="AB83" s="244" t="s">
        <v>499</v>
      </c>
      <c r="AC83" s="247" t="s">
        <v>368</v>
      </c>
      <c r="AD83" s="244"/>
    </row>
    <row r="84" spans="1:30" s="247" customFormat="1" ht="18.95" customHeight="1">
      <c r="A84" s="242" t="s">
        <v>490</v>
      </c>
      <c r="B84" s="243" t="s">
        <v>595</v>
      </c>
      <c r="C84" s="242"/>
      <c r="D84" s="243" t="s">
        <v>371</v>
      </c>
      <c r="E84" s="244"/>
      <c r="F84" s="243" t="s">
        <v>32</v>
      </c>
      <c r="G84" s="176" t="s">
        <v>325</v>
      </c>
      <c r="H84" s="242" t="s">
        <v>596</v>
      </c>
      <c r="I84" s="242" t="s">
        <v>597</v>
      </c>
      <c r="J84" s="243" t="s">
        <v>34</v>
      </c>
      <c r="K84" s="242"/>
      <c r="L84" s="245">
        <v>45056</v>
      </c>
      <c r="M84" s="245" t="s">
        <v>374</v>
      </c>
      <c r="N84" s="243"/>
      <c r="O84" s="242" t="s">
        <v>598</v>
      </c>
      <c r="P84" s="246" t="s">
        <v>177</v>
      </c>
      <c r="Q84" s="247" t="s">
        <v>495</v>
      </c>
      <c r="R84" s="249" t="s">
        <v>599</v>
      </c>
      <c r="S84" s="242" t="s">
        <v>59</v>
      </c>
      <c r="T84" s="249"/>
      <c r="U84" s="242"/>
      <c r="V84" s="248" t="s">
        <v>86</v>
      </c>
      <c r="W84" s="243" t="s">
        <v>424</v>
      </c>
      <c r="X84" s="243" t="s">
        <v>600</v>
      </c>
      <c r="Y84" s="249" t="s">
        <v>601</v>
      </c>
      <c r="Z84" s="243" t="s">
        <v>228</v>
      </c>
      <c r="AA84" s="244" t="s">
        <v>602</v>
      </c>
      <c r="AB84" s="244" t="s">
        <v>499</v>
      </c>
      <c r="AC84" s="247" t="s">
        <v>368</v>
      </c>
      <c r="AD84" s="244"/>
    </row>
    <row r="85" spans="1:30" s="247" customFormat="1" ht="18.95" customHeight="1">
      <c r="A85" s="242" t="s">
        <v>490</v>
      </c>
      <c r="B85" s="243" t="s">
        <v>603</v>
      </c>
      <c r="C85" s="242"/>
      <c r="D85" s="243" t="s">
        <v>371</v>
      </c>
      <c r="E85" s="244"/>
      <c r="F85" s="243" t="s">
        <v>32</v>
      </c>
      <c r="G85" s="176" t="s">
        <v>325</v>
      </c>
      <c r="H85" s="242" t="s">
        <v>604</v>
      </c>
      <c r="I85" s="242" t="s">
        <v>605</v>
      </c>
      <c r="J85" s="243" t="s">
        <v>34</v>
      </c>
      <c r="K85" s="242"/>
      <c r="L85" s="245">
        <v>45056</v>
      </c>
      <c r="M85" s="245" t="s">
        <v>374</v>
      </c>
      <c r="N85" s="243"/>
      <c r="O85" s="242" t="s">
        <v>606</v>
      </c>
      <c r="P85" s="246" t="s">
        <v>177</v>
      </c>
      <c r="Q85" s="247" t="s">
        <v>495</v>
      </c>
      <c r="R85" s="249" t="s">
        <v>607</v>
      </c>
      <c r="S85" s="242" t="s">
        <v>59</v>
      </c>
      <c r="T85" s="249"/>
      <c r="U85" s="242"/>
      <c r="V85" s="248" t="s">
        <v>86</v>
      </c>
      <c r="W85" s="243" t="s">
        <v>424</v>
      </c>
      <c r="X85" s="243" t="s">
        <v>253</v>
      </c>
      <c r="Y85" s="249" t="s">
        <v>555</v>
      </c>
      <c r="Z85" s="243" t="s">
        <v>228</v>
      </c>
      <c r="AA85" s="244" t="s">
        <v>608</v>
      </c>
      <c r="AB85" s="244" t="s">
        <v>499</v>
      </c>
      <c r="AC85" s="247" t="s">
        <v>368</v>
      </c>
      <c r="AD85" s="244"/>
    </row>
    <row r="86" spans="1:30" s="247" customFormat="1" ht="18.95" customHeight="1">
      <c r="A86" s="242" t="s">
        <v>490</v>
      </c>
      <c r="B86" s="243" t="s">
        <v>609</v>
      </c>
      <c r="C86" s="242"/>
      <c r="D86" s="243" t="s">
        <v>371</v>
      </c>
      <c r="E86" s="244" t="s">
        <v>545</v>
      </c>
      <c r="F86" s="243" t="s">
        <v>32</v>
      </c>
      <c r="G86" s="176" t="s">
        <v>325</v>
      </c>
      <c r="H86" s="242"/>
      <c r="I86" s="242" t="s">
        <v>610</v>
      </c>
      <c r="J86" s="243" t="s">
        <v>34</v>
      </c>
      <c r="K86" s="242"/>
      <c r="L86" s="245">
        <v>45056</v>
      </c>
      <c r="M86" s="245" t="s">
        <v>374</v>
      </c>
      <c r="N86" s="243"/>
      <c r="O86" s="242" t="s">
        <v>611</v>
      </c>
      <c r="P86" s="246" t="s">
        <v>177</v>
      </c>
      <c r="Q86" s="247" t="s">
        <v>495</v>
      </c>
      <c r="R86" s="249" t="s">
        <v>612</v>
      </c>
      <c r="S86" s="242" t="s">
        <v>59</v>
      </c>
      <c r="T86" s="249"/>
      <c r="U86" s="242"/>
      <c r="V86" s="248" t="s">
        <v>86</v>
      </c>
      <c r="W86" s="243" t="s">
        <v>424</v>
      </c>
      <c r="X86" s="243" t="s">
        <v>613</v>
      </c>
      <c r="Y86" s="249" t="s">
        <v>614</v>
      </c>
      <c r="Z86" s="243" t="s">
        <v>228</v>
      </c>
      <c r="AA86" s="244" t="s">
        <v>615</v>
      </c>
      <c r="AB86" s="244" t="s">
        <v>499</v>
      </c>
      <c r="AC86" s="247" t="s">
        <v>368</v>
      </c>
      <c r="AD86" s="244"/>
    </row>
    <row r="87" spans="1:30" s="247" customFormat="1" ht="18.95" customHeight="1">
      <c r="A87" s="242" t="s">
        <v>490</v>
      </c>
      <c r="B87" s="243" t="s">
        <v>616</v>
      </c>
      <c r="C87" s="242"/>
      <c r="D87" s="243" t="s">
        <v>371</v>
      </c>
      <c r="E87" s="244"/>
      <c r="F87" s="243" t="s">
        <v>32</v>
      </c>
      <c r="G87" s="176" t="s">
        <v>325</v>
      </c>
      <c r="H87" s="242" t="s">
        <v>617</v>
      </c>
      <c r="I87" s="242" t="s">
        <v>618</v>
      </c>
      <c r="J87" s="243" t="s">
        <v>34</v>
      </c>
      <c r="K87" s="242"/>
      <c r="L87" s="245">
        <v>45056</v>
      </c>
      <c r="M87" s="245" t="s">
        <v>374</v>
      </c>
      <c r="N87" s="243"/>
      <c r="O87" s="242" t="s">
        <v>619</v>
      </c>
      <c r="P87" s="246" t="s">
        <v>177</v>
      </c>
      <c r="Q87" s="247" t="s">
        <v>495</v>
      </c>
      <c r="R87" s="249" t="s">
        <v>620</v>
      </c>
      <c r="S87" s="242" t="s">
        <v>59</v>
      </c>
      <c r="T87" s="249"/>
      <c r="U87" s="242"/>
      <c r="V87" s="248" t="s">
        <v>86</v>
      </c>
      <c r="W87" s="243" t="s">
        <v>424</v>
      </c>
      <c r="X87" s="243" t="s">
        <v>467</v>
      </c>
      <c r="Y87" s="249"/>
      <c r="Z87" s="243" t="s">
        <v>228</v>
      </c>
      <c r="AA87" s="244" t="s">
        <v>621</v>
      </c>
      <c r="AB87" s="244" t="s">
        <v>499</v>
      </c>
      <c r="AC87" s="247" t="s">
        <v>368</v>
      </c>
      <c r="AD87" s="244"/>
    </row>
    <row r="88" spans="1:30" s="247" customFormat="1" ht="18.95" customHeight="1">
      <c r="A88" s="242" t="s">
        <v>490</v>
      </c>
      <c r="B88" s="243" t="s">
        <v>622</v>
      </c>
      <c r="C88" s="242"/>
      <c r="D88" s="243" t="s">
        <v>371</v>
      </c>
      <c r="E88" s="244"/>
      <c r="F88" s="243" t="s">
        <v>32</v>
      </c>
      <c r="G88" s="176" t="s">
        <v>325</v>
      </c>
      <c r="H88" s="242" t="s">
        <v>623</v>
      </c>
      <c r="I88" s="242" t="s">
        <v>624</v>
      </c>
      <c r="J88" s="243" t="s">
        <v>34</v>
      </c>
      <c r="K88" s="242"/>
      <c r="L88" s="245">
        <v>45056</v>
      </c>
      <c r="M88" s="245" t="s">
        <v>374</v>
      </c>
      <c r="N88" s="243"/>
      <c r="O88" s="242" t="s">
        <v>625</v>
      </c>
      <c r="P88" s="246" t="s">
        <v>177</v>
      </c>
      <c r="Q88" s="247" t="s">
        <v>495</v>
      </c>
      <c r="R88" s="249" t="s">
        <v>626</v>
      </c>
      <c r="S88" s="242" t="s">
        <v>59</v>
      </c>
      <c r="T88" s="249"/>
      <c r="U88" s="242"/>
      <c r="V88" s="248" t="s">
        <v>86</v>
      </c>
      <c r="W88" s="243" t="s">
        <v>424</v>
      </c>
      <c r="X88" s="243" t="s">
        <v>253</v>
      </c>
      <c r="Y88" s="249" t="s">
        <v>627</v>
      </c>
      <c r="Z88" s="243" t="s">
        <v>228</v>
      </c>
      <c r="AA88" s="244" t="s">
        <v>628</v>
      </c>
      <c r="AB88" s="244" t="s">
        <v>499</v>
      </c>
      <c r="AC88" s="247" t="s">
        <v>368</v>
      </c>
      <c r="AD88" s="244"/>
    </row>
    <row r="89" spans="1:30" s="220" customFormat="1" ht="18.95" customHeight="1">
      <c r="A89" s="176" t="s">
        <v>490</v>
      </c>
      <c r="B89" s="177" t="s">
        <v>629</v>
      </c>
      <c r="C89" s="176"/>
      <c r="D89" s="177" t="s">
        <v>324</v>
      </c>
      <c r="E89" s="244" t="s">
        <v>545</v>
      </c>
      <c r="F89" s="177" t="s">
        <v>32</v>
      </c>
      <c r="G89" s="176" t="s">
        <v>630</v>
      </c>
      <c r="H89" s="176"/>
      <c r="I89" s="176"/>
      <c r="J89" s="177" t="s">
        <v>34</v>
      </c>
      <c r="K89" s="176"/>
      <c r="L89" s="219" t="s">
        <v>631</v>
      </c>
      <c r="M89" s="219" t="s">
        <v>632</v>
      </c>
      <c r="N89" s="177"/>
      <c r="O89" s="176" t="s">
        <v>633</v>
      </c>
      <c r="P89" s="283" t="s">
        <v>177</v>
      </c>
      <c r="Q89" s="220" t="s">
        <v>634</v>
      </c>
      <c r="R89" s="284" t="s">
        <v>635</v>
      </c>
      <c r="S89" s="176" t="s">
        <v>272</v>
      </c>
      <c r="U89" s="176"/>
      <c r="V89" s="285" t="s">
        <v>86</v>
      </c>
      <c r="W89" s="177" t="s">
        <v>424</v>
      </c>
      <c r="X89" s="177" t="s">
        <v>636</v>
      </c>
      <c r="Y89" s="286" t="s">
        <v>197</v>
      </c>
      <c r="Z89" s="177" t="s">
        <v>228</v>
      </c>
      <c r="AA89" s="187" t="s">
        <v>637</v>
      </c>
      <c r="AB89" s="287" t="s">
        <v>367</v>
      </c>
      <c r="AC89" s="288" t="s">
        <v>368</v>
      </c>
      <c r="AD89" s="187"/>
    </row>
    <row r="90" spans="1:30" ht="18.95" customHeight="1">
      <c r="A90" s="151" t="s">
        <v>490</v>
      </c>
      <c r="B90" s="1" t="s">
        <v>638</v>
      </c>
      <c r="C90" s="5"/>
      <c r="D90" s="1" t="s">
        <v>76</v>
      </c>
      <c r="E90" s="4" t="s">
        <v>372</v>
      </c>
      <c r="F90" s="1" t="s">
        <v>32</v>
      </c>
      <c r="G90" s="171" t="s">
        <v>349</v>
      </c>
      <c r="H90" s="224"/>
      <c r="I90" s="224" t="s">
        <v>639</v>
      </c>
      <c r="J90" s="1" t="s">
        <v>34</v>
      </c>
      <c r="K90" s="171"/>
      <c r="L90" s="135" t="s">
        <v>631</v>
      </c>
      <c r="M90" s="135" t="s">
        <v>632</v>
      </c>
      <c r="N90" s="1"/>
      <c r="O90" s="5"/>
      <c r="P90" s="129" t="s">
        <v>177</v>
      </c>
      <c r="Q90" t="s">
        <v>640</v>
      </c>
      <c r="R90" t="s">
        <v>641</v>
      </c>
      <c r="S90" s="5" t="s">
        <v>272</v>
      </c>
      <c r="T90"/>
      <c r="U90" s="5"/>
      <c r="V90" s="130" t="s">
        <v>642</v>
      </c>
      <c r="W90" s="1" t="s">
        <v>424</v>
      </c>
      <c r="X90" s="1"/>
      <c r="Y90" s="1"/>
      <c r="Z90" s="1" t="s">
        <v>228</v>
      </c>
      <c r="AA90" s="4"/>
      <c r="AB90" s="4" t="s">
        <v>367</v>
      </c>
      <c r="AC90" s="2" t="s">
        <v>368</v>
      </c>
    </row>
    <row r="91" spans="1:30" ht="18.95" customHeight="1">
      <c r="A91" s="151" t="s">
        <v>490</v>
      </c>
      <c r="B91" s="1" t="s">
        <v>643</v>
      </c>
      <c r="C91" s="5"/>
      <c r="D91" s="1" t="s">
        <v>76</v>
      </c>
      <c r="E91" s="4" t="s">
        <v>372</v>
      </c>
      <c r="F91" s="1" t="s">
        <v>32</v>
      </c>
      <c r="G91" s="171" t="s">
        <v>186</v>
      </c>
      <c r="H91" s="224"/>
      <c r="I91" s="224"/>
      <c r="J91" s="1" t="s">
        <v>34</v>
      </c>
      <c r="K91" s="171"/>
      <c r="L91" s="135" t="s">
        <v>631</v>
      </c>
      <c r="M91" s="135" t="s">
        <v>632</v>
      </c>
      <c r="N91" s="1"/>
      <c r="O91" s="5" t="s">
        <v>644</v>
      </c>
      <c r="P91" s="129" t="s">
        <v>177</v>
      </c>
      <c r="Q91" t="s">
        <v>640</v>
      </c>
      <c r="R91" t="s">
        <v>645</v>
      </c>
      <c r="S91" s="5" t="s">
        <v>272</v>
      </c>
      <c r="T91"/>
      <c r="U91" s="5"/>
      <c r="V91" s="130" t="s">
        <v>642</v>
      </c>
      <c r="W91" s="1" t="s">
        <v>424</v>
      </c>
      <c r="X91" s="1" t="s">
        <v>646</v>
      </c>
      <c r="Y91" s="227" t="s">
        <v>647</v>
      </c>
      <c r="Z91" s="1" t="s">
        <v>228</v>
      </c>
      <c r="AA91" s="4" t="s">
        <v>648</v>
      </c>
      <c r="AB91" s="4" t="s">
        <v>367</v>
      </c>
      <c r="AC91" s="2" t="s">
        <v>368</v>
      </c>
    </row>
    <row r="92" spans="1:30" s="222" customFormat="1" ht="18.95" customHeight="1">
      <c r="A92" s="171" t="s">
        <v>490</v>
      </c>
      <c r="B92" s="239" t="s">
        <v>649</v>
      </c>
      <c r="D92" s="172" t="s">
        <v>76</v>
      </c>
      <c r="E92" s="182" t="s">
        <v>650</v>
      </c>
      <c r="F92" s="172" t="s">
        <v>32</v>
      </c>
      <c r="G92" s="171" t="s">
        <v>651</v>
      </c>
      <c r="H92" s="171"/>
      <c r="I92" s="171" t="s">
        <v>652</v>
      </c>
      <c r="J92" s="172" t="s">
        <v>34</v>
      </c>
      <c r="K92" s="171"/>
      <c r="L92" s="135" t="s">
        <v>631</v>
      </c>
      <c r="M92" s="135" t="s">
        <v>632</v>
      </c>
      <c r="N92" s="172"/>
      <c r="O92" s="171" t="s">
        <v>653</v>
      </c>
      <c r="P92" s="174" t="s">
        <v>177</v>
      </c>
      <c r="Q92" s="222" t="s">
        <v>634</v>
      </c>
      <c r="R92" s="260" t="s">
        <v>654</v>
      </c>
      <c r="S92" s="171" t="s">
        <v>272</v>
      </c>
      <c r="U92" s="171"/>
      <c r="V92" s="175" t="s">
        <v>642</v>
      </c>
      <c r="W92" s="172" t="s">
        <v>424</v>
      </c>
      <c r="X92" s="172" t="s">
        <v>88</v>
      </c>
      <c r="Y92" s="171" t="s">
        <v>655</v>
      </c>
      <c r="Z92" s="172" t="s">
        <v>228</v>
      </c>
      <c r="AA92" s="182" t="s">
        <v>656</v>
      </c>
      <c r="AB92" s="261" t="s">
        <v>367</v>
      </c>
      <c r="AC92" s="262" t="s">
        <v>368</v>
      </c>
      <c r="AD92" s="182"/>
    </row>
    <row r="93" spans="1:30" ht="18.95" customHeight="1">
      <c r="A93" s="151" t="s">
        <v>490</v>
      </c>
      <c r="B93" s="128" t="s">
        <v>657</v>
      </c>
      <c r="D93" s="1" t="s">
        <v>76</v>
      </c>
      <c r="F93" s="2" t="s">
        <v>32</v>
      </c>
      <c r="G93" s="222" t="s">
        <v>658</v>
      </c>
      <c r="H93" s="220"/>
      <c r="I93" s="222" t="s">
        <v>301</v>
      </c>
      <c r="J93" s="1" t="s">
        <v>34</v>
      </c>
      <c r="L93" s="135" t="s">
        <v>631</v>
      </c>
      <c r="M93" s="135" t="s">
        <v>632</v>
      </c>
      <c r="N93" s="128"/>
      <c r="O93" s="3" t="s">
        <v>659</v>
      </c>
      <c r="P93" s="129" t="s">
        <v>177</v>
      </c>
      <c r="Q93" t="s">
        <v>634</v>
      </c>
      <c r="R93" s="241" t="s">
        <v>660</v>
      </c>
      <c r="S93" s="5" t="s">
        <v>272</v>
      </c>
      <c r="U93" s="5"/>
      <c r="W93" s="1" t="s">
        <v>424</v>
      </c>
      <c r="X93" s="1" t="s">
        <v>661</v>
      </c>
      <c r="Y93" s="228" t="s">
        <v>662</v>
      </c>
      <c r="Z93" s="1" t="s">
        <v>228</v>
      </c>
      <c r="AA93" s="14" t="s">
        <v>663</v>
      </c>
      <c r="AB93" s="125" t="s">
        <v>367</v>
      </c>
      <c r="AC93" s="104" t="s">
        <v>368</v>
      </c>
    </row>
    <row r="94" spans="1:30" ht="18.95" customHeight="1">
      <c r="A94" s="151" t="s">
        <v>490</v>
      </c>
      <c r="B94" s="128" t="s">
        <v>664</v>
      </c>
      <c r="D94" s="1" t="s">
        <v>76</v>
      </c>
      <c r="F94" s="2" t="s">
        <v>32</v>
      </c>
      <c r="G94" s="222" t="s">
        <v>665</v>
      </c>
      <c r="H94" s="226"/>
      <c r="I94" s="226"/>
      <c r="J94" s="1" t="s">
        <v>34</v>
      </c>
      <c r="L94" s="135" t="s">
        <v>631</v>
      </c>
      <c r="M94" s="135" t="s">
        <v>632</v>
      </c>
      <c r="N94" s="128"/>
      <c r="O94" s="3" t="s">
        <v>666</v>
      </c>
      <c r="P94" s="2" t="s">
        <v>177</v>
      </c>
      <c r="Q94" s="2" t="s">
        <v>634</v>
      </c>
      <c r="R94" s="241" t="s">
        <v>667</v>
      </c>
      <c r="S94" s="2" t="s">
        <v>272</v>
      </c>
      <c r="V94" s="2" t="s">
        <v>86</v>
      </c>
      <c r="W94" s="1" t="s">
        <v>424</v>
      </c>
      <c r="X94" s="5" t="s">
        <v>88</v>
      </c>
      <c r="Y94" s="5" t="s">
        <v>668</v>
      </c>
      <c r="Z94" s="2" t="s">
        <v>228</v>
      </c>
      <c r="AA94" s="14" t="s">
        <v>669</v>
      </c>
      <c r="AB94" s="125" t="s">
        <v>367</v>
      </c>
      <c r="AC94" s="104" t="s">
        <v>368</v>
      </c>
    </row>
    <row r="95" spans="1:30" ht="18.95" customHeight="1">
      <c r="A95" s="151" t="s">
        <v>490</v>
      </c>
      <c r="B95" s="128" t="s">
        <v>670</v>
      </c>
      <c r="D95" s="1" t="s">
        <v>76</v>
      </c>
      <c r="F95" s="2" t="s">
        <v>32</v>
      </c>
      <c r="G95" s="222" t="s">
        <v>671</v>
      </c>
      <c r="H95" s="226"/>
      <c r="I95" s="226"/>
      <c r="J95" s="1" t="s">
        <v>34</v>
      </c>
      <c r="L95" s="135" t="s">
        <v>631</v>
      </c>
      <c r="M95" s="135" t="s">
        <v>632</v>
      </c>
      <c r="N95" s="128"/>
      <c r="O95" s="3"/>
      <c r="P95" s="2" t="s">
        <v>177</v>
      </c>
      <c r="Q95" s="2" t="s">
        <v>634</v>
      </c>
      <c r="R95" s="241" t="s">
        <v>672</v>
      </c>
      <c r="S95" s="2" t="s">
        <v>272</v>
      </c>
      <c r="V95" s="2" t="s">
        <v>86</v>
      </c>
      <c r="W95" s="1" t="s">
        <v>424</v>
      </c>
      <c r="X95" s="5" t="s">
        <v>88</v>
      </c>
      <c r="Y95" s="5"/>
      <c r="Z95" s="2" t="s">
        <v>228</v>
      </c>
      <c r="AA95" s="14" t="s">
        <v>673</v>
      </c>
      <c r="AB95" s="125" t="s">
        <v>367</v>
      </c>
      <c r="AC95" s="104" t="s">
        <v>368</v>
      </c>
    </row>
    <row r="96" spans="1:30" ht="18.95" customHeight="1">
      <c r="A96" s="151" t="s">
        <v>490</v>
      </c>
      <c r="B96" s="128" t="s">
        <v>674</v>
      </c>
      <c r="D96" s="1" t="s">
        <v>76</v>
      </c>
      <c r="F96" s="2" t="s">
        <v>32</v>
      </c>
      <c r="G96" s="222" t="s">
        <v>295</v>
      </c>
      <c r="H96" s="229"/>
      <c r="I96" s="229"/>
      <c r="J96" s="172" t="s">
        <v>34</v>
      </c>
      <c r="K96" s="2" t="s">
        <v>675</v>
      </c>
      <c r="L96" s="135" t="s">
        <v>631</v>
      </c>
      <c r="M96" s="135" t="s">
        <v>632</v>
      </c>
      <c r="N96" s="128"/>
      <c r="O96" s="230" t="s">
        <v>676</v>
      </c>
      <c r="P96" s="2" t="s">
        <v>177</v>
      </c>
      <c r="Q96" s="2" t="s">
        <v>634</v>
      </c>
      <c r="R96" s="241" t="s">
        <v>677</v>
      </c>
      <c r="S96" s="2" t="s">
        <v>272</v>
      </c>
      <c r="V96" s="2" t="s">
        <v>86</v>
      </c>
      <c r="W96" s="2" t="s">
        <v>424</v>
      </c>
      <c r="X96" s="5" t="s">
        <v>88</v>
      </c>
      <c r="Y96" s="2" t="s">
        <v>678</v>
      </c>
      <c r="Z96" s="2" t="s">
        <v>228</v>
      </c>
      <c r="AA96" s="14" t="s">
        <v>679</v>
      </c>
      <c r="AB96" s="125" t="s">
        <v>367</v>
      </c>
      <c r="AC96" s="104" t="s">
        <v>368</v>
      </c>
    </row>
    <row r="97" spans="1:30" ht="18.95" customHeight="1">
      <c r="A97" s="151" t="s">
        <v>490</v>
      </c>
      <c r="B97" s="128" t="s">
        <v>680</v>
      </c>
      <c r="D97" s="1" t="s">
        <v>76</v>
      </c>
      <c r="F97" s="2" t="s">
        <v>32</v>
      </c>
      <c r="G97" s="222" t="s">
        <v>681</v>
      </c>
      <c r="H97" s="226"/>
      <c r="I97" s="226" t="s">
        <v>682</v>
      </c>
      <c r="J97" s="1" t="s">
        <v>34</v>
      </c>
      <c r="L97" s="135" t="s">
        <v>631</v>
      </c>
      <c r="M97" s="135" t="s">
        <v>632</v>
      </c>
      <c r="N97" s="128"/>
      <c r="O97" s="230" t="s">
        <v>683</v>
      </c>
      <c r="P97" s="2" t="s">
        <v>177</v>
      </c>
      <c r="Q97" s="2" t="s">
        <v>634</v>
      </c>
      <c r="R97" s="241" t="s">
        <v>684</v>
      </c>
      <c r="S97" s="2" t="s">
        <v>272</v>
      </c>
      <c r="V97" s="2" t="s">
        <v>86</v>
      </c>
      <c r="W97" s="2" t="s">
        <v>424</v>
      </c>
      <c r="X97" s="1" t="s">
        <v>685</v>
      </c>
      <c r="Y97" s="188" t="s">
        <v>555</v>
      </c>
      <c r="Z97" s="2" t="s">
        <v>228</v>
      </c>
      <c r="AA97" s="14" t="s">
        <v>686</v>
      </c>
      <c r="AB97" s="125" t="s">
        <v>367</v>
      </c>
      <c r="AC97" s="104" t="s">
        <v>368</v>
      </c>
    </row>
    <row r="98" spans="1:30" s="222" customFormat="1" ht="18.95" customHeight="1">
      <c r="A98" s="171" t="s">
        <v>490</v>
      </c>
      <c r="B98" s="239" t="s">
        <v>687</v>
      </c>
      <c r="D98" s="172" t="s">
        <v>76</v>
      </c>
      <c r="E98" s="238" t="s">
        <v>688</v>
      </c>
      <c r="F98" s="222" t="s">
        <v>32</v>
      </c>
      <c r="G98" s="222" t="s">
        <v>689</v>
      </c>
      <c r="H98" s="176" t="s">
        <v>394</v>
      </c>
      <c r="I98" s="222" t="s">
        <v>682</v>
      </c>
      <c r="J98" s="172" t="s">
        <v>34</v>
      </c>
      <c r="L98" s="173">
        <v>45994</v>
      </c>
      <c r="M98" s="173" t="s">
        <v>420</v>
      </c>
      <c r="N98" s="239"/>
      <c r="O98" s="240" t="s">
        <v>683</v>
      </c>
      <c r="P98" s="222" t="s">
        <v>177</v>
      </c>
      <c r="Q98" s="222" t="s">
        <v>690</v>
      </c>
      <c r="R98" s="253" t="s">
        <v>691</v>
      </c>
      <c r="S98" s="222" t="s">
        <v>272</v>
      </c>
      <c r="T98" s="254"/>
      <c r="V98" s="222" t="s">
        <v>423</v>
      </c>
      <c r="W98" s="222" t="s">
        <v>424</v>
      </c>
      <c r="X98" s="172" t="s">
        <v>685</v>
      </c>
      <c r="Y98" s="172" t="s">
        <v>555</v>
      </c>
      <c r="Z98" s="222" t="s">
        <v>228</v>
      </c>
      <c r="AA98" s="238"/>
      <c r="AB98" s="182" t="s">
        <v>692</v>
      </c>
      <c r="AC98" s="222" t="s">
        <v>426</v>
      </c>
      <c r="AD98" s="182"/>
    </row>
    <row r="99" spans="1:30" ht="18.95" customHeight="1">
      <c r="A99" s="151" t="s">
        <v>490</v>
      </c>
      <c r="B99" s="128" t="s">
        <v>693</v>
      </c>
      <c r="D99" s="1" t="s">
        <v>76</v>
      </c>
      <c r="F99" s="2" t="s">
        <v>32</v>
      </c>
      <c r="G99" s="222" t="s">
        <v>694</v>
      </c>
      <c r="H99" s="226"/>
      <c r="I99" s="226"/>
      <c r="J99" s="1" t="s">
        <v>34</v>
      </c>
      <c r="L99" s="135">
        <v>45994</v>
      </c>
      <c r="M99" s="173" t="s">
        <v>420</v>
      </c>
      <c r="N99" s="128"/>
      <c r="O99" s="230" t="s">
        <v>683</v>
      </c>
      <c r="P99" s="2" t="s">
        <v>177</v>
      </c>
      <c r="Q99" s="2" t="s">
        <v>690</v>
      </c>
      <c r="R99" s="2" t="s">
        <v>695</v>
      </c>
      <c r="S99" s="2" t="s">
        <v>272</v>
      </c>
      <c r="V99" s="2" t="s">
        <v>423</v>
      </c>
      <c r="W99" s="2" t="s">
        <v>424</v>
      </c>
      <c r="X99" s="1" t="s">
        <v>685</v>
      </c>
      <c r="Y99" s="188" t="s">
        <v>555</v>
      </c>
      <c r="Z99" s="2" t="s">
        <v>228</v>
      </c>
      <c r="AA99" s="14"/>
      <c r="AB99" s="4" t="s">
        <v>692</v>
      </c>
      <c r="AC99" s="2" t="s">
        <v>426</v>
      </c>
    </row>
    <row r="100" spans="1:30" customFormat="1" ht="18.95" customHeight="1">
      <c r="A100" s="151" t="s">
        <v>490</v>
      </c>
      <c r="B100" s="46" t="s">
        <v>696</v>
      </c>
      <c r="D100" s="188" t="s">
        <v>76</v>
      </c>
      <c r="E100" s="92"/>
      <c r="F100" t="s">
        <v>32</v>
      </c>
      <c r="G100" t="s">
        <v>521</v>
      </c>
      <c r="I100" t="s">
        <v>697</v>
      </c>
      <c r="J100" s="188" t="s">
        <v>34</v>
      </c>
      <c r="L100" s="214">
        <v>45994</v>
      </c>
      <c r="M100" s="173" t="s">
        <v>420</v>
      </c>
      <c r="N100" s="46"/>
      <c r="O100" s="230" t="s">
        <v>683</v>
      </c>
      <c r="P100" t="s">
        <v>177</v>
      </c>
      <c r="Q100" t="s">
        <v>690</v>
      </c>
      <c r="R100" s="257" t="s">
        <v>698</v>
      </c>
      <c r="S100" t="s">
        <v>272</v>
      </c>
      <c r="T100" s="258"/>
      <c r="V100" t="s">
        <v>423</v>
      </c>
      <c r="W100" t="s">
        <v>424</v>
      </c>
      <c r="X100" s="188" t="s">
        <v>88</v>
      </c>
      <c r="Y100" s="259" t="s">
        <v>699</v>
      </c>
      <c r="Z100" t="s">
        <v>228</v>
      </c>
      <c r="AA100" s="92"/>
      <c r="AB100" s="213" t="s">
        <v>692</v>
      </c>
      <c r="AC100" t="s">
        <v>426</v>
      </c>
      <c r="AD100" s="213"/>
    </row>
    <row r="101" spans="1:30" s="222" customFormat="1" ht="18.95" customHeight="1">
      <c r="A101" s="171" t="s">
        <v>490</v>
      </c>
      <c r="B101" s="239" t="s">
        <v>700</v>
      </c>
      <c r="D101" s="172" t="s">
        <v>76</v>
      </c>
      <c r="E101" s="238"/>
      <c r="F101" s="222" t="s">
        <v>32</v>
      </c>
      <c r="G101" s="222" t="s">
        <v>407</v>
      </c>
      <c r="I101" s="222" t="s">
        <v>407</v>
      </c>
      <c r="J101" s="172" t="s">
        <v>34</v>
      </c>
      <c r="L101" s="173">
        <v>45994</v>
      </c>
      <c r="M101" s="173" t="s">
        <v>420</v>
      </c>
      <c r="N101" s="239"/>
      <c r="O101" s="240" t="s">
        <v>683</v>
      </c>
      <c r="P101" s="222" t="s">
        <v>177</v>
      </c>
      <c r="Q101" s="222" t="s">
        <v>690</v>
      </c>
      <c r="R101" s="253" t="s">
        <v>701</v>
      </c>
      <c r="S101" s="222" t="s">
        <v>272</v>
      </c>
      <c r="T101" s="254"/>
      <c r="V101" s="222" t="s">
        <v>423</v>
      </c>
      <c r="W101" s="222" t="s">
        <v>424</v>
      </c>
      <c r="X101" s="172" t="s">
        <v>685</v>
      </c>
      <c r="Y101" s="172" t="s">
        <v>555</v>
      </c>
      <c r="Z101" s="222" t="s">
        <v>228</v>
      </c>
      <c r="AA101" s="238">
        <v>1916931513</v>
      </c>
      <c r="AB101" s="182" t="s">
        <v>692</v>
      </c>
      <c r="AC101" s="222" t="s">
        <v>426</v>
      </c>
      <c r="AD101" s="182"/>
    </row>
    <row r="102" spans="1:30" ht="18.95" customHeight="1">
      <c r="A102" s="151" t="s">
        <v>490</v>
      </c>
      <c r="B102" s="128" t="s">
        <v>702</v>
      </c>
      <c r="D102" s="1" t="s">
        <v>76</v>
      </c>
      <c r="F102" s="2" t="s">
        <v>32</v>
      </c>
      <c r="G102" s="222" t="s">
        <v>703</v>
      </c>
      <c r="H102" s="226"/>
      <c r="I102" s="226"/>
      <c r="J102" s="1" t="s">
        <v>34</v>
      </c>
      <c r="L102" s="135">
        <v>45994</v>
      </c>
      <c r="M102" s="173" t="s">
        <v>420</v>
      </c>
      <c r="N102" s="128" t="s">
        <v>704</v>
      </c>
      <c r="O102" s="230" t="s">
        <v>705</v>
      </c>
      <c r="P102" s="2" t="s">
        <v>177</v>
      </c>
      <c r="Q102" s="2" t="s">
        <v>690</v>
      </c>
      <c r="R102" s="231" t="s">
        <v>706</v>
      </c>
      <c r="S102" s="2" t="s">
        <v>272</v>
      </c>
      <c r="T102" s="232"/>
      <c r="V102" s="2" t="s">
        <v>423</v>
      </c>
      <c r="W102" s="2" t="s">
        <v>424</v>
      </c>
      <c r="X102" s="1" t="s">
        <v>685</v>
      </c>
      <c r="Y102" s="188" t="s">
        <v>555</v>
      </c>
      <c r="Z102" s="2" t="s">
        <v>228</v>
      </c>
      <c r="AA102" s="14" t="s">
        <v>707</v>
      </c>
      <c r="AB102" s="4" t="s">
        <v>692</v>
      </c>
      <c r="AC102" s="2" t="s">
        <v>426</v>
      </c>
    </row>
    <row r="103" spans="1:30" s="220" customFormat="1" ht="18.95" customHeight="1">
      <c r="A103" s="176" t="s">
        <v>490</v>
      </c>
      <c r="B103" s="234" t="s">
        <v>708</v>
      </c>
      <c r="D103" s="177" t="s">
        <v>324</v>
      </c>
      <c r="E103" s="233" t="s">
        <v>545</v>
      </c>
      <c r="F103" s="220" t="s">
        <v>32</v>
      </c>
      <c r="G103" s="220" t="s">
        <v>325</v>
      </c>
      <c r="I103" s="220" t="s">
        <v>362</v>
      </c>
      <c r="J103" s="177" t="s">
        <v>34</v>
      </c>
      <c r="L103" s="219">
        <v>45994</v>
      </c>
      <c r="M103" s="173" t="s">
        <v>420</v>
      </c>
      <c r="N103" s="234" t="s">
        <v>709</v>
      </c>
      <c r="O103" s="235" t="s">
        <v>710</v>
      </c>
      <c r="P103" s="220" t="s">
        <v>177</v>
      </c>
      <c r="Q103" s="220" t="s">
        <v>690</v>
      </c>
      <c r="R103" s="236" t="s">
        <v>711</v>
      </c>
      <c r="S103" s="220" t="s">
        <v>272</v>
      </c>
      <c r="T103" s="237"/>
      <c r="V103" s="220" t="s">
        <v>423</v>
      </c>
      <c r="W103" s="220" t="s">
        <v>424</v>
      </c>
      <c r="X103" s="177" t="s">
        <v>685</v>
      </c>
      <c r="Y103" s="177" t="s">
        <v>555</v>
      </c>
      <c r="Z103" s="220" t="s">
        <v>228</v>
      </c>
      <c r="AA103" s="233">
        <v>1537922772</v>
      </c>
      <c r="AB103" s="187" t="s">
        <v>692</v>
      </c>
      <c r="AC103" s="220" t="s">
        <v>426</v>
      </c>
      <c r="AD103" s="187"/>
    </row>
    <row r="104" spans="1:30" ht="18.95" customHeight="1">
      <c r="A104" s="151" t="s">
        <v>490</v>
      </c>
      <c r="B104" s="128" t="s">
        <v>712</v>
      </c>
      <c r="D104" s="1" t="s">
        <v>76</v>
      </c>
      <c r="F104" s="2" t="s">
        <v>32</v>
      </c>
      <c r="G104" s="222" t="s">
        <v>713</v>
      </c>
      <c r="H104" s="226"/>
      <c r="I104" s="222" t="s">
        <v>714</v>
      </c>
      <c r="J104" s="1" t="s">
        <v>34</v>
      </c>
      <c r="L104" s="135">
        <v>45994</v>
      </c>
      <c r="M104" s="173" t="s">
        <v>420</v>
      </c>
      <c r="N104" s="128" t="s">
        <v>715</v>
      </c>
      <c r="O104" s="230" t="s">
        <v>716</v>
      </c>
      <c r="P104" s="2" t="s">
        <v>177</v>
      </c>
      <c r="Q104" s="2" t="s">
        <v>690</v>
      </c>
      <c r="R104" s="2" t="s">
        <v>717</v>
      </c>
      <c r="S104" s="2" t="s">
        <v>272</v>
      </c>
      <c r="V104" s="2" t="s">
        <v>423</v>
      </c>
      <c r="W104" s="2" t="s">
        <v>424</v>
      </c>
      <c r="X104" s="1" t="s">
        <v>88</v>
      </c>
      <c r="Y104" s="188" t="s">
        <v>718</v>
      </c>
      <c r="Z104" s="2" t="s">
        <v>228</v>
      </c>
      <c r="AA104" s="14">
        <v>1249883685</v>
      </c>
      <c r="AB104" s="4" t="s">
        <v>692</v>
      </c>
      <c r="AC104" s="2" t="s">
        <v>426</v>
      </c>
    </row>
    <row r="105" spans="1:30" ht="18.95" customHeight="1">
      <c r="A105" s="151" t="s">
        <v>490</v>
      </c>
      <c r="B105" s="128" t="s">
        <v>719</v>
      </c>
      <c r="D105" s="1" t="s">
        <v>76</v>
      </c>
      <c r="F105" s="2" t="s">
        <v>32</v>
      </c>
      <c r="G105" s="222" t="s">
        <v>720</v>
      </c>
      <c r="H105" s="226"/>
      <c r="I105" s="226"/>
      <c r="J105" s="1" t="s">
        <v>34</v>
      </c>
      <c r="L105" s="135">
        <v>45994</v>
      </c>
      <c r="M105" s="173" t="s">
        <v>420</v>
      </c>
      <c r="N105" s="128" t="s">
        <v>721</v>
      </c>
      <c r="O105" s="230" t="s">
        <v>722</v>
      </c>
      <c r="P105" s="2" t="s">
        <v>177</v>
      </c>
      <c r="Q105" s="2" t="s">
        <v>690</v>
      </c>
      <c r="R105" s="2" t="s">
        <v>723</v>
      </c>
      <c r="S105" s="2" t="s">
        <v>272</v>
      </c>
      <c r="V105" s="2" t="s">
        <v>423</v>
      </c>
      <c r="W105" s="2" t="s">
        <v>424</v>
      </c>
      <c r="X105" s="1" t="s">
        <v>685</v>
      </c>
      <c r="Y105" s="188" t="s">
        <v>555</v>
      </c>
      <c r="Z105" s="2" t="s">
        <v>228</v>
      </c>
      <c r="AA105" s="14">
        <v>1268395785</v>
      </c>
      <c r="AB105" s="4" t="s">
        <v>692</v>
      </c>
      <c r="AC105" s="2" t="s">
        <v>426</v>
      </c>
    </row>
    <row r="106" spans="1:30" ht="18.95" customHeight="1">
      <c r="A106" s="151" t="s">
        <v>490</v>
      </c>
      <c r="B106" s="128" t="s">
        <v>724</v>
      </c>
      <c r="D106" s="1" t="s">
        <v>76</v>
      </c>
      <c r="F106" s="2" t="s">
        <v>32</v>
      </c>
      <c r="G106" s="222" t="s">
        <v>725</v>
      </c>
      <c r="H106" s="226"/>
      <c r="I106" s="226"/>
      <c r="J106" s="1" t="s">
        <v>34</v>
      </c>
      <c r="L106" s="135">
        <v>45994</v>
      </c>
      <c r="M106" s="173" t="s">
        <v>420</v>
      </c>
      <c r="N106" s="128" t="s">
        <v>726</v>
      </c>
      <c r="O106" s="230" t="s">
        <v>727</v>
      </c>
      <c r="P106" s="2" t="s">
        <v>177</v>
      </c>
      <c r="Q106" s="2" t="s">
        <v>690</v>
      </c>
      <c r="R106" s="2" t="s">
        <v>728</v>
      </c>
      <c r="S106" s="2" t="s">
        <v>272</v>
      </c>
      <c r="V106" s="2" t="s">
        <v>423</v>
      </c>
      <c r="W106" s="2" t="s">
        <v>424</v>
      </c>
      <c r="X106" s="1" t="s">
        <v>685</v>
      </c>
      <c r="Y106" s="188" t="s">
        <v>555</v>
      </c>
      <c r="Z106" s="2" t="s">
        <v>228</v>
      </c>
      <c r="AA106" s="14">
        <v>682471671</v>
      </c>
      <c r="AB106" s="4" t="s">
        <v>692</v>
      </c>
      <c r="AC106" s="2" t="s">
        <v>426</v>
      </c>
    </row>
    <row r="107" spans="1:30" ht="18.95" customHeight="1">
      <c r="A107" s="151" t="s">
        <v>490</v>
      </c>
      <c r="B107" s="128" t="s">
        <v>729</v>
      </c>
      <c r="D107" s="1" t="s">
        <v>76</v>
      </c>
      <c r="F107" s="2" t="s">
        <v>32</v>
      </c>
      <c r="G107" s="222" t="s">
        <v>730</v>
      </c>
      <c r="H107" s="226"/>
      <c r="I107" s="226"/>
      <c r="J107" s="1" t="s">
        <v>34</v>
      </c>
      <c r="L107" s="135">
        <v>45994</v>
      </c>
      <c r="M107" s="173" t="s">
        <v>420</v>
      </c>
      <c r="N107" s="128" t="s">
        <v>731</v>
      </c>
      <c r="O107" s="230" t="s">
        <v>732</v>
      </c>
      <c r="P107" s="2" t="s">
        <v>177</v>
      </c>
      <c r="Q107" s="2" t="s">
        <v>690</v>
      </c>
      <c r="R107" s="2" t="s">
        <v>733</v>
      </c>
      <c r="S107" s="2" t="s">
        <v>272</v>
      </c>
      <c r="V107" s="2" t="s">
        <v>423</v>
      </c>
      <c r="W107" s="2" t="s">
        <v>424</v>
      </c>
      <c r="X107" s="1" t="s">
        <v>685</v>
      </c>
      <c r="Y107" s="188" t="s">
        <v>555</v>
      </c>
      <c r="Z107" s="2" t="s">
        <v>228</v>
      </c>
      <c r="AA107" s="14">
        <v>1925454363</v>
      </c>
      <c r="AB107" s="4" t="s">
        <v>692</v>
      </c>
      <c r="AC107" s="2" t="s">
        <v>426</v>
      </c>
    </row>
    <row r="108" spans="1:30" s="222" customFormat="1" ht="18.95" customHeight="1">
      <c r="A108" s="171" t="s">
        <v>490</v>
      </c>
      <c r="B108" s="239" t="s">
        <v>734</v>
      </c>
      <c r="D108" s="172" t="s">
        <v>76</v>
      </c>
      <c r="E108" s="238" t="s">
        <v>688</v>
      </c>
      <c r="F108" s="222" t="s">
        <v>32</v>
      </c>
      <c r="G108" s="222" t="s">
        <v>401</v>
      </c>
      <c r="H108" s="176" t="s">
        <v>394</v>
      </c>
      <c r="I108" s="222" t="s">
        <v>735</v>
      </c>
      <c r="J108" s="172" t="s">
        <v>34</v>
      </c>
      <c r="L108" s="173">
        <v>45994</v>
      </c>
      <c r="M108" s="173" t="s">
        <v>420</v>
      </c>
      <c r="N108" s="239" t="s">
        <v>736</v>
      </c>
      <c r="O108" s="240" t="s">
        <v>737</v>
      </c>
      <c r="P108" s="222" t="s">
        <v>177</v>
      </c>
      <c r="Q108" s="222" t="s">
        <v>690</v>
      </c>
      <c r="R108" s="222" t="s">
        <v>738</v>
      </c>
      <c r="S108" s="222" t="s">
        <v>272</v>
      </c>
      <c r="V108" s="222" t="s">
        <v>423</v>
      </c>
      <c r="W108" s="222" t="s">
        <v>424</v>
      </c>
      <c r="X108" s="172" t="s">
        <v>685</v>
      </c>
      <c r="Y108" s="172" t="s">
        <v>555</v>
      </c>
      <c r="Z108" s="222" t="s">
        <v>228</v>
      </c>
      <c r="AA108" s="238">
        <v>1852712959</v>
      </c>
      <c r="AB108" s="182" t="s">
        <v>692</v>
      </c>
      <c r="AC108" s="222" t="s">
        <v>426</v>
      </c>
      <c r="AD108" s="182"/>
    </row>
    <row r="109" spans="1:30" s="222" customFormat="1" ht="18.95" customHeight="1">
      <c r="A109" s="171" t="s">
        <v>490</v>
      </c>
      <c r="B109" s="239" t="s">
        <v>739</v>
      </c>
      <c r="D109" s="172" t="s">
        <v>76</v>
      </c>
      <c r="E109" s="238" t="s">
        <v>688</v>
      </c>
      <c r="F109" s="222" t="s">
        <v>32</v>
      </c>
      <c r="G109" s="222" t="s">
        <v>740</v>
      </c>
      <c r="H109" s="176" t="s">
        <v>394</v>
      </c>
      <c r="I109" s="222" t="s">
        <v>652</v>
      </c>
      <c r="J109" s="172" t="s">
        <v>34</v>
      </c>
      <c r="L109" s="173">
        <v>45994</v>
      </c>
      <c r="M109" s="173" t="s">
        <v>420</v>
      </c>
      <c r="N109" s="239" t="s">
        <v>741</v>
      </c>
      <c r="O109" s="240" t="s">
        <v>742</v>
      </c>
      <c r="P109" s="222" t="s">
        <v>177</v>
      </c>
      <c r="Q109" s="222" t="s">
        <v>690</v>
      </c>
      <c r="R109" s="222" t="s">
        <v>743</v>
      </c>
      <c r="S109" s="222" t="s">
        <v>272</v>
      </c>
      <c r="V109" s="222" t="s">
        <v>423</v>
      </c>
      <c r="W109" s="222" t="s">
        <v>424</v>
      </c>
      <c r="X109" s="172" t="s">
        <v>685</v>
      </c>
      <c r="Y109" s="172" t="s">
        <v>555</v>
      </c>
      <c r="Z109" s="222" t="s">
        <v>228</v>
      </c>
      <c r="AA109" s="238">
        <v>955691284</v>
      </c>
      <c r="AB109" s="182" t="s">
        <v>692</v>
      </c>
      <c r="AC109" s="222" t="s">
        <v>426</v>
      </c>
      <c r="AD109" s="182"/>
    </row>
    <row r="110" spans="1:30" ht="18.95" customHeight="1">
      <c r="A110" s="151" t="s">
        <v>490</v>
      </c>
      <c r="B110" s="128" t="s">
        <v>744</v>
      </c>
      <c r="D110" s="1" t="s">
        <v>76</v>
      </c>
      <c r="F110" s="2" t="s">
        <v>32</v>
      </c>
      <c r="G110" s="222" t="s">
        <v>745</v>
      </c>
      <c r="H110" s="226"/>
      <c r="I110" s="226"/>
      <c r="J110" s="1" t="s">
        <v>34</v>
      </c>
      <c r="L110" s="135">
        <v>45994</v>
      </c>
      <c r="M110" s="173" t="s">
        <v>420</v>
      </c>
      <c r="N110" s="128" t="s">
        <v>746</v>
      </c>
      <c r="O110" s="230" t="s">
        <v>747</v>
      </c>
      <c r="P110" s="2" t="s">
        <v>177</v>
      </c>
      <c r="Q110" s="2" t="s">
        <v>690</v>
      </c>
      <c r="R110" s="2" t="s">
        <v>748</v>
      </c>
      <c r="S110" s="2" t="s">
        <v>272</v>
      </c>
      <c r="V110" s="2" t="s">
        <v>423</v>
      </c>
      <c r="W110" s="2" t="s">
        <v>424</v>
      </c>
      <c r="X110" s="1" t="s">
        <v>685</v>
      </c>
      <c r="Y110" s="188" t="s">
        <v>555</v>
      </c>
      <c r="Z110" s="2" t="s">
        <v>228</v>
      </c>
      <c r="AA110" s="14">
        <v>300117222</v>
      </c>
      <c r="AB110" s="4" t="s">
        <v>692</v>
      </c>
      <c r="AC110" s="2" t="s">
        <v>426</v>
      </c>
    </row>
    <row r="111" spans="1:30" s="222" customFormat="1" ht="18.95" customHeight="1">
      <c r="A111" s="171" t="s">
        <v>490</v>
      </c>
      <c r="B111" s="239" t="s">
        <v>749</v>
      </c>
      <c r="D111" s="172" t="s">
        <v>76</v>
      </c>
      <c r="E111" s="238"/>
      <c r="F111" s="222" t="s">
        <v>32</v>
      </c>
      <c r="G111" s="222" t="s">
        <v>750</v>
      </c>
      <c r="I111" s="222" t="s">
        <v>751</v>
      </c>
      <c r="J111" s="172" t="s">
        <v>34</v>
      </c>
      <c r="L111" s="173">
        <v>45994</v>
      </c>
      <c r="M111" s="173" t="s">
        <v>420</v>
      </c>
      <c r="N111" s="239" t="s">
        <v>752</v>
      </c>
      <c r="O111" s="240" t="s">
        <v>753</v>
      </c>
      <c r="P111" s="222" t="s">
        <v>177</v>
      </c>
      <c r="Q111" s="222" t="s">
        <v>690</v>
      </c>
      <c r="R111" s="222" t="s">
        <v>754</v>
      </c>
      <c r="S111" s="222" t="s">
        <v>272</v>
      </c>
      <c r="V111" s="222" t="s">
        <v>423</v>
      </c>
      <c r="W111" s="222" t="s">
        <v>424</v>
      </c>
      <c r="X111" s="172" t="s">
        <v>685</v>
      </c>
      <c r="Y111" s="172" t="s">
        <v>555</v>
      </c>
      <c r="Z111" s="222" t="s">
        <v>228</v>
      </c>
      <c r="AA111" s="238" t="s">
        <v>755</v>
      </c>
      <c r="AB111" s="182" t="s">
        <v>692</v>
      </c>
      <c r="AC111" s="222" t="s">
        <v>426</v>
      </c>
      <c r="AD111" s="182"/>
    </row>
    <row r="112" spans="1:30" ht="18.95" customHeight="1">
      <c r="A112" s="151" t="s">
        <v>490</v>
      </c>
      <c r="B112" s="128" t="s">
        <v>756</v>
      </c>
      <c r="D112" s="1" t="s">
        <v>76</v>
      </c>
      <c r="F112" s="2" t="s">
        <v>32</v>
      </c>
      <c r="G112" s="222" t="s">
        <v>757</v>
      </c>
      <c r="H112" s="226"/>
      <c r="I112" s="226"/>
      <c r="J112" s="1" t="s">
        <v>34</v>
      </c>
      <c r="L112" s="135">
        <v>45994</v>
      </c>
      <c r="M112" s="173" t="s">
        <v>420</v>
      </c>
      <c r="N112" s="128" t="s">
        <v>758</v>
      </c>
      <c r="O112" s="230" t="s">
        <v>759</v>
      </c>
      <c r="P112" s="2" t="s">
        <v>177</v>
      </c>
      <c r="Q112" s="2" t="s">
        <v>690</v>
      </c>
      <c r="R112" s="2" t="s">
        <v>760</v>
      </c>
      <c r="S112" s="2" t="s">
        <v>272</v>
      </c>
      <c r="V112" s="2" t="s">
        <v>423</v>
      </c>
      <c r="W112" s="2" t="s">
        <v>424</v>
      </c>
      <c r="X112" s="1" t="s">
        <v>685</v>
      </c>
      <c r="Y112" s="188" t="s">
        <v>555</v>
      </c>
      <c r="Z112" s="2" t="s">
        <v>228</v>
      </c>
      <c r="AA112" s="14">
        <v>565350844</v>
      </c>
      <c r="AB112" s="4" t="s">
        <v>692</v>
      </c>
      <c r="AC112" s="2" t="s">
        <v>426</v>
      </c>
    </row>
    <row r="113" spans="1:30" s="222" customFormat="1" ht="18.95" customHeight="1">
      <c r="A113" s="171" t="s">
        <v>490</v>
      </c>
      <c r="B113" s="239" t="s">
        <v>761</v>
      </c>
      <c r="D113" s="172" t="s">
        <v>76</v>
      </c>
      <c r="E113" s="238"/>
      <c r="F113" s="222" t="s">
        <v>32</v>
      </c>
      <c r="G113" s="171" t="s">
        <v>78</v>
      </c>
      <c r="J113" s="222" t="s">
        <v>34</v>
      </c>
      <c r="L113" s="173">
        <v>45994</v>
      </c>
      <c r="M113" s="173" t="s">
        <v>420</v>
      </c>
      <c r="N113" s="239" t="s">
        <v>762</v>
      </c>
      <c r="O113" s="240" t="s">
        <v>763</v>
      </c>
      <c r="P113" s="222" t="s">
        <v>177</v>
      </c>
      <c r="Q113" s="222" t="s">
        <v>690</v>
      </c>
      <c r="R113" s="222" t="s">
        <v>764</v>
      </c>
      <c r="S113" s="222" t="s">
        <v>272</v>
      </c>
      <c r="V113" s="222" t="s">
        <v>423</v>
      </c>
      <c r="W113" s="222" t="s">
        <v>424</v>
      </c>
      <c r="X113" s="172" t="s">
        <v>685</v>
      </c>
      <c r="Y113" s="172" t="s">
        <v>555</v>
      </c>
      <c r="Z113" s="222" t="s">
        <v>228</v>
      </c>
      <c r="AA113" s="238">
        <v>1020950007</v>
      </c>
      <c r="AB113" s="182" t="s">
        <v>692</v>
      </c>
      <c r="AC113" s="222" t="s">
        <v>426</v>
      </c>
      <c r="AD113" s="182"/>
    </row>
    <row r="114" spans="1:30" ht="18.95" customHeight="1">
      <c r="A114" s="5" t="s">
        <v>29</v>
      </c>
      <c r="B114" s="1">
        <v>236</v>
      </c>
      <c r="C114" s="1"/>
      <c r="D114" s="1" t="s">
        <v>76</v>
      </c>
      <c r="E114" s="4" t="s">
        <v>650</v>
      </c>
      <c r="F114" s="1" t="s">
        <v>32</v>
      </c>
      <c r="G114" s="211" t="s">
        <v>308</v>
      </c>
      <c r="H114" s="211"/>
      <c r="I114" s="211" t="s">
        <v>514</v>
      </c>
      <c r="J114" s="1" t="s">
        <v>34</v>
      </c>
      <c r="K114" s="1" t="s">
        <v>317</v>
      </c>
      <c r="L114" s="135">
        <v>44405</v>
      </c>
      <c r="M114" s="135"/>
      <c r="N114" s="1" t="s">
        <v>765</v>
      </c>
      <c r="O114" s="5" t="s">
        <v>766</v>
      </c>
      <c r="P114" s="129" t="s">
        <v>38</v>
      </c>
      <c r="Q114" s="160" t="s">
        <v>244</v>
      </c>
      <c r="R114" s="5" t="s">
        <v>767</v>
      </c>
      <c r="S114" s="5" t="s">
        <v>59</v>
      </c>
      <c r="T114" s="1" t="s">
        <v>218</v>
      </c>
      <c r="U114" s="1" t="s">
        <v>219</v>
      </c>
      <c r="V114" s="130" t="s">
        <v>238</v>
      </c>
      <c r="W114" s="1" t="s">
        <v>239</v>
      </c>
      <c r="X114" s="1" t="s">
        <v>321</v>
      </c>
      <c r="Y114" s="1" t="s">
        <v>768</v>
      </c>
      <c r="Z114" s="1" t="s">
        <v>228</v>
      </c>
      <c r="AA114" s="4">
        <v>242378185</v>
      </c>
      <c r="AB114" s="4"/>
      <c r="AC114" s="1"/>
    </row>
    <row r="119" spans="1:30" ht="18.95" customHeight="1">
      <c r="D119" s="205" t="s">
        <v>769</v>
      </c>
      <c r="E119" s="197"/>
      <c r="F119" s="153" t="e">
        <f>COUNTIFS($F$54:$F$152,"USE",$F$2:$F$97,"Laptop")</f>
        <v>#VALUE!</v>
      </c>
      <c r="G119" s="189"/>
      <c r="H119" s="189"/>
      <c r="I119" s="189"/>
    </row>
    <row r="120" spans="1:30" ht="18.95" customHeight="1">
      <c r="D120" s="205" t="s">
        <v>770</v>
      </c>
      <c r="E120" s="197"/>
      <c r="F120" s="153" t="e">
        <f>COUNTIFS($D$54:$D$97,"USE",$F$2:$F$97,"Desktop")</f>
        <v>#VALUE!</v>
      </c>
      <c r="G120" s="189"/>
      <c r="H120" s="189"/>
      <c r="I120" s="189"/>
    </row>
    <row r="121" spans="1:30" ht="18.95" customHeight="1">
      <c r="D121" s="206" t="s">
        <v>771</v>
      </c>
      <c r="E121" s="198"/>
      <c r="F121" s="184" t="e">
        <f>COUNTIFS($D$54:$D$97,"KEEP",$F$2:$F$97,"Laptop")</f>
        <v>#VALUE!</v>
      </c>
      <c r="G121" s="190"/>
      <c r="H121" s="190"/>
      <c r="I121" s="190"/>
    </row>
    <row r="122" spans="1:30" ht="18.95" customHeight="1">
      <c r="D122" s="206" t="s">
        <v>772</v>
      </c>
      <c r="E122" s="198"/>
      <c r="F122" s="184" t="e">
        <f>COUNTIFS($D$54:$D$97,"KEEP",$F$2:$F$97,"Desktop")</f>
        <v>#VALUE!</v>
      </c>
      <c r="G122" s="190"/>
      <c r="H122" s="190"/>
      <c r="I122" s="190"/>
    </row>
    <row r="123" spans="1:30" ht="18.95" customHeight="1">
      <c r="D123" s="196" t="s">
        <v>773</v>
      </c>
      <c r="E123" s="199"/>
      <c r="F123" s="185">
        <f>COUNTIF(D54:D92, "OTW DISPOSE")</f>
        <v>0</v>
      </c>
      <c r="G123" s="191"/>
      <c r="H123" s="191"/>
      <c r="I123" s="191"/>
    </row>
    <row r="124" spans="1:30" ht="18.95" customHeight="1">
      <c r="D124" s="207" t="s">
        <v>774</v>
      </c>
      <c r="E124" s="200"/>
      <c r="F124" s="154">
        <f>COUNTIF(D54:D97, "NO FOUND")</f>
        <v>0</v>
      </c>
      <c r="G124" s="192"/>
      <c r="H124" s="192"/>
      <c r="I124" s="192"/>
    </row>
    <row r="125" spans="1:30" ht="18.95" customHeight="1">
      <c r="D125" s="208" t="s">
        <v>775</v>
      </c>
      <c r="E125" s="201"/>
      <c r="F125" s="155">
        <f>COUNTIF(D54:D97, "DISPOSED")</f>
        <v>0</v>
      </c>
      <c r="G125" s="193"/>
      <c r="H125" s="193"/>
      <c r="I125" s="193"/>
    </row>
    <row r="126" spans="1:30" ht="18.95" customHeight="1">
      <c r="D126" s="208" t="s">
        <v>776</v>
      </c>
      <c r="E126" s="201"/>
      <c r="F126" s="155">
        <f>COUNTIF(D54:D97, "REPAIR")</f>
        <v>0</v>
      </c>
      <c r="G126" s="193"/>
      <c r="H126" s="193"/>
      <c r="I126" s="193"/>
    </row>
    <row r="127" spans="1:30" ht="18.95" customHeight="1">
      <c r="D127" s="194" t="s">
        <v>777</v>
      </c>
      <c r="E127" s="202"/>
      <c r="F127" s="149" t="e">
        <f>F120+F122+F125+F124+F123</f>
        <v>#VALUE!</v>
      </c>
      <c r="G127" s="194"/>
      <c r="H127" s="194"/>
      <c r="I127" s="194"/>
    </row>
  </sheetData>
  <phoneticPr fontId="20" type="noConversion"/>
  <conditionalFormatting sqref="D1:E92 D93:D108 E96:E109 D109:E1048576">
    <cfRule type="containsText" dxfId="15" priority="1" operator="containsText" text="OTW">
      <formula>NOT(ISERROR(SEARCH("OTW",D1)))</formula>
    </cfRule>
    <cfRule type="containsText" dxfId="14" priority="2" operator="containsText" text="NO FOUND">
      <formula>NOT(ISERROR(SEARCH("NO FOUND",D1)))</formula>
    </cfRule>
    <cfRule type="containsText" dxfId="13" priority="3" operator="containsText" text="KEEP">
      <formula>NOT(ISERROR(SEARCH("KEEP",D1)))</formula>
    </cfRule>
    <cfRule type="containsText" dxfId="12" priority="4" operator="containsText" text="USE">
      <formula>NOT(ISERROR(SEARCH("USE",D1)))</formula>
    </cfRule>
    <cfRule type="endsWith" dxfId="11" priority="5" operator="endsWith" text="D">
      <formula>RIGHT(D1,LEN("D"))="D"</formula>
    </cfRule>
  </conditionalFormatting>
  <printOptions horizontalCentered="1" verticalCentered="1" gridLines="1"/>
  <pageMargins left="0" right="0" top="0" bottom="0" header="0" footer="0"/>
  <pageSetup paperSize="8" scale="29" orientation="landscape" blackAndWhite="1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2A48-5D23-42B1-8141-17CE04CCC3DC}">
  <dimension ref="A1:X22"/>
  <sheetViews>
    <sheetView workbookViewId="0">
      <selection activeCell="F19" sqref="F19"/>
    </sheetView>
  </sheetViews>
  <sheetFormatPr defaultRowHeight="15"/>
  <cols>
    <col min="3" max="3" width="16.7109375" customWidth="1"/>
    <col min="4" max="4" width="25" customWidth="1"/>
    <col min="6" max="6" width="30.7109375" customWidth="1"/>
    <col min="7" max="8" width="22" customWidth="1"/>
    <col min="9" max="9" width="24.7109375" customWidth="1"/>
    <col min="10" max="10" width="18.42578125" customWidth="1"/>
    <col min="11" max="11" width="23.5703125" customWidth="1"/>
    <col min="13" max="13" width="22.5703125" customWidth="1"/>
    <col min="14" max="14" width="15.140625" customWidth="1"/>
    <col min="15" max="15" width="30.28515625" customWidth="1"/>
    <col min="19" max="19" width="33.42578125" customWidth="1"/>
    <col min="20" max="20" width="15.85546875" customWidth="1"/>
    <col min="21" max="21" width="18.42578125" customWidth="1"/>
  </cols>
  <sheetData>
    <row r="1" spans="1:24" ht="18.75">
      <c r="A1" s="195" t="s">
        <v>0</v>
      </c>
      <c r="B1" s="209" t="s">
        <v>1</v>
      </c>
      <c r="C1" s="210" t="s">
        <v>3</v>
      </c>
      <c r="D1" s="181" t="s">
        <v>4</v>
      </c>
      <c r="E1" s="156" t="s">
        <v>5</v>
      </c>
      <c r="F1" s="156" t="s">
        <v>6</v>
      </c>
      <c r="G1" s="156" t="s">
        <v>778</v>
      </c>
      <c r="H1" s="156" t="s">
        <v>8</v>
      </c>
      <c r="I1" s="156" t="s">
        <v>10</v>
      </c>
      <c r="J1" s="157" t="s">
        <v>11</v>
      </c>
      <c r="K1" s="156" t="s">
        <v>14</v>
      </c>
      <c r="L1" s="156" t="s">
        <v>15</v>
      </c>
      <c r="M1" s="156" t="s">
        <v>16</v>
      </c>
      <c r="N1" s="156" t="s">
        <v>17</v>
      </c>
      <c r="O1" s="156" t="s">
        <v>18</v>
      </c>
      <c r="P1" s="158" t="s">
        <v>21</v>
      </c>
      <c r="Q1" s="156" t="s">
        <v>22</v>
      </c>
      <c r="R1" s="156" t="s">
        <v>23</v>
      </c>
      <c r="S1" s="156" t="s">
        <v>24</v>
      </c>
      <c r="T1" s="156" t="s">
        <v>25</v>
      </c>
      <c r="U1" s="183" t="s">
        <v>26</v>
      </c>
      <c r="V1" s="183" t="s">
        <v>27</v>
      </c>
      <c r="W1" s="215" t="s">
        <v>28</v>
      </c>
      <c r="X1" s="82"/>
    </row>
    <row r="2" spans="1:24">
      <c r="A2" s="242" t="s">
        <v>490</v>
      </c>
      <c r="B2" s="242" t="s">
        <v>491</v>
      </c>
      <c r="C2" s="243" t="s">
        <v>371</v>
      </c>
      <c r="D2" s="244"/>
      <c r="E2" s="243" t="s">
        <v>32</v>
      </c>
      <c r="F2" s="255" t="s">
        <v>493</v>
      </c>
      <c r="G2" s="242" t="s">
        <v>779</v>
      </c>
      <c r="H2" s="242"/>
      <c r="I2" s="242"/>
      <c r="J2" s="245">
        <v>45056</v>
      </c>
      <c r="K2" s="242" t="s">
        <v>494</v>
      </c>
      <c r="L2" s="246" t="s">
        <v>177</v>
      </c>
      <c r="M2" s="247" t="s">
        <v>495</v>
      </c>
      <c r="N2" s="247" t="s">
        <v>496</v>
      </c>
      <c r="O2" s="242" t="s">
        <v>59</v>
      </c>
      <c r="P2" s="248" t="s">
        <v>86</v>
      </c>
      <c r="Q2" s="243" t="s">
        <v>424</v>
      </c>
      <c r="R2" s="243"/>
      <c r="S2" s="249" t="s">
        <v>497</v>
      </c>
      <c r="T2" s="243" t="s">
        <v>228</v>
      </c>
      <c r="U2" s="244" t="s">
        <v>498</v>
      </c>
      <c r="V2" s="244" t="s">
        <v>499</v>
      </c>
      <c r="W2" s="247" t="s">
        <v>368</v>
      </c>
      <c r="X2" s="244"/>
    </row>
    <row r="3" spans="1:24">
      <c r="A3" s="242" t="s">
        <v>490</v>
      </c>
      <c r="B3" s="242" t="s">
        <v>500</v>
      </c>
      <c r="C3" s="243" t="s">
        <v>371</v>
      </c>
      <c r="D3" s="244"/>
      <c r="E3" s="243" t="s">
        <v>32</v>
      </c>
      <c r="F3" s="242" t="s">
        <v>475</v>
      </c>
      <c r="G3" s="242"/>
      <c r="H3" s="242"/>
      <c r="I3" s="242"/>
      <c r="J3" s="245">
        <v>45056</v>
      </c>
      <c r="K3" s="242" t="s">
        <v>503</v>
      </c>
      <c r="L3" s="246" t="s">
        <v>177</v>
      </c>
      <c r="M3" s="247" t="s">
        <v>495</v>
      </c>
      <c r="N3" s="247" t="s">
        <v>504</v>
      </c>
      <c r="O3" s="242" t="s">
        <v>59</v>
      </c>
      <c r="P3" s="248" t="s">
        <v>86</v>
      </c>
      <c r="Q3" s="243" t="s">
        <v>424</v>
      </c>
      <c r="R3" s="243"/>
      <c r="S3" s="249" t="s">
        <v>505</v>
      </c>
      <c r="T3" s="243" t="s">
        <v>228</v>
      </c>
      <c r="U3" s="244" t="s">
        <v>506</v>
      </c>
      <c r="V3" s="244" t="s">
        <v>499</v>
      </c>
      <c r="W3" s="247" t="s">
        <v>368</v>
      </c>
      <c r="X3" s="244"/>
    </row>
    <row r="4" spans="1:24">
      <c r="A4" s="242" t="s">
        <v>490</v>
      </c>
      <c r="B4" s="242" t="s">
        <v>507</v>
      </c>
      <c r="C4" s="243" t="s">
        <v>371</v>
      </c>
      <c r="D4" s="244"/>
      <c r="E4" s="243" t="s">
        <v>32</v>
      </c>
      <c r="F4" s="176" t="s">
        <v>325</v>
      </c>
      <c r="G4" s="242"/>
      <c r="H4" s="242" t="s">
        <v>508</v>
      </c>
      <c r="I4" s="242"/>
      <c r="J4" s="245">
        <v>45056</v>
      </c>
      <c r="K4" s="242" t="s">
        <v>509</v>
      </c>
      <c r="L4" s="246" t="s">
        <v>177</v>
      </c>
      <c r="M4" s="247" t="s">
        <v>495</v>
      </c>
      <c r="N4" s="247" t="s">
        <v>510</v>
      </c>
      <c r="O4" s="242" t="s">
        <v>59</v>
      </c>
      <c r="P4" s="248" t="s">
        <v>86</v>
      </c>
      <c r="Q4" s="243" t="s">
        <v>424</v>
      </c>
      <c r="R4" s="243"/>
      <c r="S4" s="249"/>
      <c r="T4" s="243" t="s">
        <v>228</v>
      </c>
      <c r="U4" s="244" t="s">
        <v>511</v>
      </c>
      <c r="V4" s="244" t="s">
        <v>499</v>
      </c>
      <c r="W4" s="247" t="s">
        <v>368</v>
      </c>
      <c r="X4" s="244"/>
    </row>
    <row r="5" spans="1:24">
      <c r="A5" s="242" t="s">
        <v>490</v>
      </c>
      <c r="B5" s="242" t="s">
        <v>512</v>
      </c>
      <c r="C5" s="243" t="s">
        <v>371</v>
      </c>
      <c r="D5" s="244"/>
      <c r="E5" s="243" t="s">
        <v>32</v>
      </c>
      <c r="F5" s="255" t="s">
        <v>514</v>
      </c>
      <c r="G5" s="242" t="s">
        <v>780</v>
      </c>
      <c r="H5" s="242"/>
      <c r="I5" s="242"/>
      <c r="J5" s="245">
        <v>45056</v>
      </c>
      <c r="K5" s="242" t="s">
        <v>515</v>
      </c>
      <c r="L5" s="246" t="s">
        <v>177</v>
      </c>
      <c r="M5" s="247" t="s">
        <v>495</v>
      </c>
      <c r="N5" s="247" t="s">
        <v>516</v>
      </c>
      <c r="O5" s="242" t="s">
        <v>59</v>
      </c>
      <c r="P5" s="248" t="s">
        <v>86</v>
      </c>
      <c r="Q5" s="243" t="s">
        <v>424</v>
      </c>
      <c r="R5" s="243" t="s">
        <v>517</v>
      </c>
      <c r="S5" s="249" t="s">
        <v>518</v>
      </c>
      <c r="T5" s="243" t="s">
        <v>228</v>
      </c>
      <c r="U5" s="244" t="s">
        <v>519</v>
      </c>
      <c r="V5" s="244" t="s">
        <v>499</v>
      </c>
      <c r="W5" s="247" t="s">
        <v>368</v>
      </c>
      <c r="X5" s="244"/>
    </row>
    <row r="6" spans="1:24">
      <c r="A6" s="242" t="s">
        <v>490</v>
      </c>
      <c r="B6" s="242" t="s">
        <v>520</v>
      </c>
      <c r="C6" s="243" t="s">
        <v>371</v>
      </c>
      <c r="D6" s="244"/>
      <c r="E6" s="243" t="s">
        <v>32</v>
      </c>
      <c r="F6" s="255" t="s">
        <v>521</v>
      </c>
      <c r="G6" s="242" t="s">
        <v>781</v>
      </c>
      <c r="H6" s="242"/>
      <c r="I6" s="242"/>
      <c r="J6" s="245">
        <v>45056</v>
      </c>
      <c r="K6" s="242" t="s">
        <v>522</v>
      </c>
      <c r="L6" s="246" t="s">
        <v>177</v>
      </c>
      <c r="M6" s="247" t="s">
        <v>495</v>
      </c>
      <c r="N6" s="247" t="s">
        <v>523</v>
      </c>
      <c r="O6" s="242" t="s">
        <v>59</v>
      </c>
      <c r="P6" s="248" t="s">
        <v>86</v>
      </c>
      <c r="Q6" s="243" t="s">
        <v>424</v>
      </c>
      <c r="R6" s="243" t="s">
        <v>253</v>
      </c>
      <c r="S6" s="249"/>
      <c r="T6" s="243" t="s">
        <v>228</v>
      </c>
      <c r="U6" s="244" t="s">
        <v>524</v>
      </c>
      <c r="V6" s="244" t="s">
        <v>499</v>
      </c>
      <c r="W6" s="247" t="s">
        <v>368</v>
      </c>
      <c r="X6" s="244"/>
    </row>
    <row r="7" spans="1:24">
      <c r="A7" s="242" t="s">
        <v>490</v>
      </c>
      <c r="B7" s="242" t="s">
        <v>525</v>
      </c>
      <c r="C7" s="243" t="s">
        <v>371</v>
      </c>
      <c r="D7" s="244"/>
      <c r="E7" s="243" t="s">
        <v>32</v>
      </c>
      <c r="F7" s="242" t="s">
        <v>782</v>
      </c>
      <c r="G7" s="242"/>
      <c r="H7" s="242"/>
      <c r="I7" s="242"/>
      <c r="J7" s="245">
        <v>45056</v>
      </c>
      <c r="K7" s="242" t="s">
        <v>527</v>
      </c>
      <c r="L7" s="246" t="s">
        <v>177</v>
      </c>
      <c r="M7" s="247" t="s">
        <v>495</v>
      </c>
      <c r="N7" s="249" t="s">
        <v>528</v>
      </c>
      <c r="O7" s="242" t="s">
        <v>59</v>
      </c>
      <c r="P7" s="248" t="s">
        <v>86</v>
      </c>
      <c r="Q7" s="243" t="s">
        <v>424</v>
      </c>
      <c r="R7" s="243"/>
      <c r="S7" s="249" t="s">
        <v>529</v>
      </c>
      <c r="T7" s="243" t="s">
        <v>228</v>
      </c>
      <c r="U7" s="244" t="s">
        <v>530</v>
      </c>
      <c r="V7" s="244" t="s">
        <v>499</v>
      </c>
      <c r="W7" s="247" t="s">
        <v>368</v>
      </c>
      <c r="X7" s="244"/>
    </row>
    <row r="8" spans="1:24">
      <c r="A8" s="242" t="s">
        <v>490</v>
      </c>
      <c r="B8" s="242" t="s">
        <v>531</v>
      </c>
      <c r="C8" s="243" t="s">
        <v>371</v>
      </c>
      <c r="D8" s="244"/>
      <c r="E8" s="243" t="s">
        <v>32</v>
      </c>
      <c r="F8" s="176" t="s">
        <v>325</v>
      </c>
      <c r="G8" s="242"/>
      <c r="H8" s="242" t="s">
        <v>532</v>
      </c>
      <c r="I8" s="242"/>
      <c r="J8" s="245">
        <v>45056</v>
      </c>
      <c r="K8" s="242" t="s">
        <v>533</v>
      </c>
      <c r="L8" s="246" t="s">
        <v>177</v>
      </c>
      <c r="M8" s="247" t="s">
        <v>495</v>
      </c>
      <c r="N8" s="249" t="s">
        <v>534</v>
      </c>
      <c r="O8" s="242" t="s">
        <v>59</v>
      </c>
      <c r="P8" s="248" t="s">
        <v>86</v>
      </c>
      <c r="Q8" s="243" t="s">
        <v>424</v>
      </c>
      <c r="R8" s="243" t="s">
        <v>535</v>
      </c>
      <c r="S8" s="249" t="s">
        <v>536</v>
      </c>
      <c r="T8" s="243" t="s">
        <v>228</v>
      </c>
      <c r="U8" s="244" t="s">
        <v>537</v>
      </c>
      <c r="V8" s="244" t="s">
        <v>499</v>
      </c>
      <c r="W8" s="247" t="s">
        <v>368</v>
      </c>
      <c r="X8" s="244"/>
    </row>
    <row r="9" spans="1:24">
      <c r="A9" s="242" t="s">
        <v>490</v>
      </c>
      <c r="B9" s="242" t="s">
        <v>538</v>
      </c>
      <c r="C9" s="243" t="s">
        <v>371</v>
      </c>
      <c r="D9" s="244" t="s">
        <v>539</v>
      </c>
      <c r="E9" s="243" t="s">
        <v>32</v>
      </c>
      <c r="F9" s="242" t="s">
        <v>783</v>
      </c>
      <c r="G9" s="242"/>
      <c r="H9" s="242" t="s">
        <v>784</v>
      </c>
      <c r="I9" s="242"/>
      <c r="J9" s="245">
        <v>45056</v>
      </c>
      <c r="K9" s="242" t="s">
        <v>541</v>
      </c>
      <c r="L9" s="246" t="s">
        <v>177</v>
      </c>
      <c r="M9" s="247" t="s">
        <v>495</v>
      </c>
      <c r="N9" s="249" t="s">
        <v>542</v>
      </c>
      <c r="O9" s="242" t="s">
        <v>59</v>
      </c>
      <c r="P9" s="248" t="s">
        <v>86</v>
      </c>
      <c r="Q9" s="243" t="s">
        <v>424</v>
      </c>
      <c r="R9" s="243"/>
      <c r="S9" s="249"/>
      <c r="T9" s="243" t="s">
        <v>228</v>
      </c>
      <c r="U9" s="244" t="s">
        <v>543</v>
      </c>
      <c r="V9" s="244" t="s">
        <v>499</v>
      </c>
      <c r="W9" s="247" t="s">
        <v>368</v>
      </c>
      <c r="X9" s="244"/>
    </row>
    <row r="10" spans="1:24">
      <c r="A10" s="242" t="s">
        <v>490</v>
      </c>
      <c r="B10" s="242" t="s">
        <v>544</v>
      </c>
      <c r="C10" s="243" t="s">
        <v>371</v>
      </c>
      <c r="D10" s="244" t="s">
        <v>545</v>
      </c>
      <c r="E10" s="243" t="s">
        <v>32</v>
      </c>
      <c r="F10" s="176" t="s">
        <v>325</v>
      </c>
      <c r="G10" s="242"/>
      <c r="H10" s="242" t="s">
        <v>546</v>
      </c>
      <c r="I10" s="242"/>
      <c r="J10" s="245">
        <v>45056</v>
      </c>
      <c r="K10" s="242" t="s">
        <v>547</v>
      </c>
      <c r="L10" s="246" t="s">
        <v>177</v>
      </c>
      <c r="M10" s="247" t="s">
        <v>495</v>
      </c>
      <c r="N10" s="249" t="s">
        <v>548</v>
      </c>
      <c r="O10" s="242" t="s">
        <v>272</v>
      </c>
      <c r="P10" s="248" t="s">
        <v>86</v>
      </c>
      <c r="Q10" s="243" t="s">
        <v>424</v>
      </c>
      <c r="R10" s="243" t="s">
        <v>467</v>
      </c>
      <c r="S10" s="250" t="s">
        <v>468</v>
      </c>
      <c r="T10" s="243" t="s">
        <v>228</v>
      </c>
      <c r="U10" s="244" t="s">
        <v>549</v>
      </c>
      <c r="V10" s="244" t="s">
        <v>499</v>
      </c>
      <c r="W10" s="247" t="s">
        <v>368</v>
      </c>
      <c r="X10" s="244"/>
    </row>
    <row r="11" spans="1:24">
      <c r="A11" s="242" t="s">
        <v>490</v>
      </c>
      <c r="B11" s="242" t="s">
        <v>550</v>
      </c>
      <c r="C11" s="243" t="s">
        <v>371</v>
      </c>
      <c r="D11" s="244" t="s">
        <v>551</v>
      </c>
      <c r="E11" s="243" t="s">
        <v>32</v>
      </c>
      <c r="F11" s="176" t="s">
        <v>325</v>
      </c>
      <c r="G11" s="242"/>
      <c r="H11" s="242" t="s">
        <v>552</v>
      </c>
      <c r="I11" s="242"/>
      <c r="J11" s="245">
        <v>45056</v>
      </c>
      <c r="K11" s="242" t="s">
        <v>553</v>
      </c>
      <c r="L11" s="246" t="s">
        <v>177</v>
      </c>
      <c r="M11" s="247" t="s">
        <v>495</v>
      </c>
      <c r="N11" s="249" t="s">
        <v>554</v>
      </c>
      <c r="O11" s="242" t="s">
        <v>59</v>
      </c>
      <c r="P11" s="248" t="s">
        <v>86</v>
      </c>
      <c r="Q11" s="243" t="s">
        <v>424</v>
      </c>
      <c r="R11" s="243" t="s">
        <v>467</v>
      </c>
      <c r="S11" s="249" t="s">
        <v>555</v>
      </c>
      <c r="T11" s="243" t="s">
        <v>228</v>
      </c>
      <c r="U11" s="244" t="s">
        <v>556</v>
      </c>
      <c r="V11" s="244" t="s">
        <v>499</v>
      </c>
      <c r="W11" s="247" t="s">
        <v>368</v>
      </c>
      <c r="X11" s="244"/>
    </row>
    <row r="12" spans="1:24">
      <c r="A12" s="242" t="s">
        <v>490</v>
      </c>
      <c r="B12" s="242" t="s">
        <v>557</v>
      </c>
      <c r="C12" s="243" t="s">
        <v>371</v>
      </c>
      <c r="D12" s="244" t="s">
        <v>558</v>
      </c>
      <c r="E12" s="243" t="s">
        <v>32</v>
      </c>
      <c r="F12" s="176" t="s">
        <v>325</v>
      </c>
      <c r="G12" s="242"/>
      <c r="H12" s="242" t="s">
        <v>559</v>
      </c>
      <c r="I12" s="242"/>
      <c r="J12" s="245">
        <v>45056</v>
      </c>
      <c r="K12" s="242" t="s">
        <v>560</v>
      </c>
      <c r="L12" s="246" t="s">
        <v>177</v>
      </c>
      <c r="M12" s="247" t="s">
        <v>495</v>
      </c>
      <c r="N12" s="249" t="s">
        <v>561</v>
      </c>
      <c r="O12" s="242" t="s">
        <v>59</v>
      </c>
      <c r="P12" s="248" t="s">
        <v>86</v>
      </c>
      <c r="Q12" s="243" t="s">
        <v>424</v>
      </c>
      <c r="R12" s="243" t="s">
        <v>562</v>
      </c>
      <c r="S12" s="249" t="s">
        <v>563</v>
      </c>
      <c r="T12" s="243" t="s">
        <v>228</v>
      </c>
      <c r="U12" s="244" t="s">
        <v>564</v>
      </c>
      <c r="V12" s="244" t="s">
        <v>499</v>
      </c>
      <c r="W12" s="247" t="s">
        <v>368</v>
      </c>
      <c r="X12" s="244"/>
    </row>
    <row r="13" spans="1:24">
      <c r="A13" s="242" t="s">
        <v>490</v>
      </c>
      <c r="B13" s="242" t="s">
        <v>565</v>
      </c>
      <c r="C13" s="243" t="s">
        <v>371</v>
      </c>
      <c r="D13" s="244"/>
      <c r="E13" s="243" t="s">
        <v>32</v>
      </c>
      <c r="F13" s="242" t="s">
        <v>785</v>
      </c>
      <c r="G13" s="242"/>
      <c r="H13" s="242"/>
      <c r="I13" s="242"/>
      <c r="J13" s="245">
        <v>45056</v>
      </c>
      <c r="K13" s="242" t="s">
        <v>567</v>
      </c>
      <c r="L13" s="246" t="s">
        <v>177</v>
      </c>
      <c r="M13" s="247" t="s">
        <v>495</v>
      </c>
      <c r="N13" s="249" t="s">
        <v>568</v>
      </c>
      <c r="O13" s="242" t="s">
        <v>59</v>
      </c>
      <c r="P13" s="248" t="s">
        <v>86</v>
      </c>
      <c r="Q13" s="243" t="s">
        <v>424</v>
      </c>
      <c r="R13" s="243" t="s">
        <v>562</v>
      </c>
      <c r="S13" s="249" t="s">
        <v>569</v>
      </c>
      <c r="T13" s="243" t="s">
        <v>228</v>
      </c>
      <c r="U13" s="244" t="s">
        <v>570</v>
      </c>
      <c r="V13" s="244" t="s">
        <v>499</v>
      </c>
      <c r="W13" s="247" t="s">
        <v>368</v>
      </c>
      <c r="X13" s="244"/>
    </row>
    <row r="14" spans="1:24">
      <c r="A14" s="242" t="s">
        <v>490</v>
      </c>
      <c r="B14" s="242" t="s">
        <v>571</v>
      </c>
      <c r="C14" s="243" t="s">
        <v>371</v>
      </c>
      <c r="D14" s="244" t="s">
        <v>572</v>
      </c>
      <c r="E14" s="243" t="s">
        <v>32</v>
      </c>
      <c r="F14" s="176" t="s">
        <v>325</v>
      </c>
      <c r="G14" s="242"/>
      <c r="H14" s="242" t="s">
        <v>475</v>
      </c>
      <c r="I14" s="242"/>
      <c r="J14" s="245">
        <v>45056</v>
      </c>
      <c r="K14" s="242" t="s">
        <v>573</v>
      </c>
      <c r="L14" s="246" t="s">
        <v>177</v>
      </c>
      <c r="M14" s="247" t="s">
        <v>495</v>
      </c>
      <c r="N14" s="249" t="s">
        <v>574</v>
      </c>
      <c r="O14" s="242" t="s">
        <v>59</v>
      </c>
      <c r="P14" s="248" t="s">
        <v>86</v>
      </c>
      <c r="Q14" s="243" t="s">
        <v>424</v>
      </c>
      <c r="R14" s="243" t="s">
        <v>467</v>
      </c>
      <c r="S14" s="249" t="s">
        <v>575</v>
      </c>
      <c r="T14" s="243" t="s">
        <v>228</v>
      </c>
      <c r="U14" s="244" t="s">
        <v>576</v>
      </c>
      <c r="V14" s="244" t="s">
        <v>499</v>
      </c>
      <c r="W14" s="247" t="s">
        <v>368</v>
      </c>
      <c r="X14" s="244"/>
    </row>
    <row r="15" spans="1:24">
      <c r="A15" s="242" t="s">
        <v>490</v>
      </c>
      <c r="B15" s="242" t="s">
        <v>577</v>
      </c>
      <c r="C15" s="243" t="s">
        <v>371</v>
      </c>
      <c r="D15" s="244"/>
      <c r="E15" s="243" t="s">
        <v>32</v>
      </c>
      <c r="F15" s="242" t="s">
        <v>786</v>
      </c>
      <c r="G15" s="242"/>
      <c r="H15" s="242"/>
      <c r="I15" s="242"/>
      <c r="J15" s="245">
        <v>45056</v>
      </c>
      <c r="K15" s="242" t="s">
        <v>579</v>
      </c>
      <c r="L15" s="246" t="s">
        <v>177</v>
      </c>
      <c r="M15" s="247" t="s">
        <v>495</v>
      </c>
      <c r="N15" s="249" t="s">
        <v>580</v>
      </c>
      <c r="O15" s="242" t="s">
        <v>59</v>
      </c>
      <c r="P15" s="248" t="s">
        <v>86</v>
      </c>
      <c r="Q15" s="243" t="s">
        <v>424</v>
      </c>
      <c r="R15" s="243" t="s">
        <v>562</v>
      </c>
      <c r="S15" s="249" t="s">
        <v>581</v>
      </c>
      <c r="T15" s="243" t="s">
        <v>228</v>
      </c>
      <c r="U15" s="244" t="s">
        <v>582</v>
      </c>
      <c r="V15" s="244" t="s">
        <v>499</v>
      </c>
      <c r="W15" s="247" t="s">
        <v>368</v>
      </c>
      <c r="X15" s="244"/>
    </row>
    <row r="16" spans="1:24">
      <c r="A16" s="242" t="s">
        <v>490</v>
      </c>
      <c r="B16" s="242" t="s">
        <v>583</v>
      </c>
      <c r="C16" s="243" t="s">
        <v>371</v>
      </c>
      <c r="D16" s="244"/>
      <c r="E16" s="243" t="s">
        <v>32</v>
      </c>
      <c r="F16" s="242" t="s">
        <v>287</v>
      </c>
      <c r="G16" s="242"/>
      <c r="H16" s="242"/>
      <c r="I16" s="242"/>
      <c r="J16" s="245">
        <v>45056</v>
      </c>
      <c r="K16" s="242" t="s">
        <v>585</v>
      </c>
      <c r="L16" s="246" t="s">
        <v>177</v>
      </c>
      <c r="M16" s="247" t="s">
        <v>495</v>
      </c>
      <c r="N16" s="249" t="s">
        <v>586</v>
      </c>
      <c r="O16" s="242" t="s">
        <v>59</v>
      </c>
      <c r="P16" s="248" t="s">
        <v>86</v>
      </c>
      <c r="Q16" s="243" t="s">
        <v>424</v>
      </c>
      <c r="R16" s="243" t="s">
        <v>562</v>
      </c>
      <c r="S16" s="249" t="s">
        <v>587</v>
      </c>
      <c r="T16" s="243" t="s">
        <v>228</v>
      </c>
      <c r="U16" s="244" t="s">
        <v>588</v>
      </c>
      <c r="V16" s="244" t="s">
        <v>499</v>
      </c>
      <c r="W16" s="247" t="s">
        <v>368</v>
      </c>
      <c r="X16" s="244"/>
    </row>
    <row r="17" spans="1:24">
      <c r="A17" s="242" t="s">
        <v>490</v>
      </c>
      <c r="B17" s="242" t="s">
        <v>589</v>
      </c>
      <c r="C17" s="243" t="s">
        <v>371</v>
      </c>
      <c r="D17" s="244"/>
      <c r="E17" s="243" t="s">
        <v>32</v>
      </c>
      <c r="F17" s="255" t="s">
        <v>590</v>
      </c>
      <c r="G17" s="242" t="s">
        <v>787</v>
      </c>
      <c r="H17" s="242"/>
      <c r="I17" s="242"/>
      <c r="J17" s="245">
        <v>45056</v>
      </c>
      <c r="K17" s="242" t="s">
        <v>591</v>
      </c>
      <c r="L17" s="246" t="s">
        <v>177</v>
      </c>
      <c r="M17" s="247" t="s">
        <v>495</v>
      </c>
      <c r="N17" s="249" t="s">
        <v>592</v>
      </c>
      <c r="O17" s="242" t="s">
        <v>272</v>
      </c>
      <c r="P17" s="248" t="s">
        <v>86</v>
      </c>
      <c r="Q17" s="243" t="s">
        <v>424</v>
      </c>
      <c r="R17" s="243" t="s">
        <v>562</v>
      </c>
      <c r="S17" s="249" t="s">
        <v>593</v>
      </c>
      <c r="T17" s="243" t="s">
        <v>228</v>
      </c>
      <c r="U17" s="244" t="s">
        <v>594</v>
      </c>
      <c r="V17" s="244" t="s">
        <v>499</v>
      </c>
      <c r="W17" s="247" t="s">
        <v>368</v>
      </c>
      <c r="X17" s="244"/>
    </row>
    <row r="18" spans="1:24">
      <c r="A18" s="242" t="s">
        <v>490</v>
      </c>
      <c r="B18" s="242" t="s">
        <v>595</v>
      </c>
      <c r="C18" s="243" t="s">
        <v>371</v>
      </c>
      <c r="D18" s="244"/>
      <c r="E18" s="243" t="s">
        <v>32</v>
      </c>
      <c r="F18" s="255" t="s">
        <v>294</v>
      </c>
      <c r="G18" s="242" t="s">
        <v>788</v>
      </c>
      <c r="H18" s="242"/>
      <c r="I18" s="242"/>
      <c r="J18" s="245">
        <v>45056</v>
      </c>
      <c r="K18" s="242" t="s">
        <v>598</v>
      </c>
      <c r="L18" s="246" t="s">
        <v>177</v>
      </c>
      <c r="M18" s="247" t="s">
        <v>495</v>
      </c>
      <c r="N18" s="249" t="s">
        <v>599</v>
      </c>
      <c r="O18" s="242" t="s">
        <v>59</v>
      </c>
      <c r="P18" s="248" t="s">
        <v>86</v>
      </c>
      <c r="Q18" s="243" t="s">
        <v>424</v>
      </c>
      <c r="R18" s="243" t="s">
        <v>600</v>
      </c>
      <c r="S18" s="249" t="s">
        <v>601</v>
      </c>
      <c r="T18" s="243" t="s">
        <v>228</v>
      </c>
      <c r="U18" s="244" t="s">
        <v>602</v>
      </c>
      <c r="V18" s="244" t="s">
        <v>499</v>
      </c>
      <c r="W18" s="247" t="s">
        <v>368</v>
      </c>
      <c r="X18" s="244"/>
    </row>
    <row r="19" spans="1:24">
      <c r="A19" s="242" t="s">
        <v>490</v>
      </c>
      <c r="B19" s="242" t="s">
        <v>603</v>
      </c>
      <c r="C19" s="243" t="s">
        <v>371</v>
      </c>
      <c r="D19" s="244"/>
      <c r="E19" s="243" t="s">
        <v>32</v>
      </c>
      <c r="F19" s="242" t="s">
        <v>90</v>
      </c>
      <c r="G19" s="242"/>
      <c r="H19" s="242"/>
      <c r="I19" s="242"/>
      <c r="J19" s="245">
        <v>45056</v>
      </c>
      <c r="K19" s="242" t="s">
        <v>606</v>
      </c>
      <c r="L19" s="246" t="s">
        <v>177</v>
      </c>
      <c r="M19" s="247" t="s">
        <v>495</v>
      </c>
      <c r="N19" s="249" t="s">
        <v>607</v>
      </c>
      <c r="O19" s="242" t="s">
        <v>59</v>
      </c>
      <c r="P19" s="248" t="s">
        <v>86</v>
      </c>
      <c r="Q19" s="243" t="s">
        <v>424</v>
      </c>
      <c r="R19" s="243" t="s">
        <v>253</v>
      </c>
      <c r="S19" s="249" t="s">
        <v>555</v>
      </c>
      <c r="T19" s="243" t="s">
        <v>228</v>
      </c>
      <c r="U19" s="244" t="s">
        <v>608</v>
      </c>
      <c r="V19" s="244" t="s">
        <v>499</v>
      </c>
      <c r="W19" s="247" t="s">
        <v>368</v>
      </c>
      <c r="X19" s="244"/>
    </row>
    <row r="20" spans="1:24">
      <c r="A20" s="242" t="s">
        <v>490</v>
      </c>
      <c r="B20" s="242" t="s">
        <v>609</v>
      </c>
      <c r="C20" s="243" t="s">
        <v>371</v>
      </c>
      <c r="D20" s="244" t="s">
        <v>545</v>
      </c>
      <c r="E20" s="243" t="s">
        <v>32</v>
      </c>
      <c r="F20" s="176" t="s">
        <v>325</v>
      </c>
      <c r="G20" s="242"/>
      <c r="H20" s="242" t="s">
        <v>610</v>
      </c>
      <c r="I20" s="242"/>
      <c r="J20" s="245">
        <v>45056</v>
      </c>
      <c r="K20" s="242" t="s">
        <v>611</v>
      </c>
      <c r="L20" s="246" t="s">
        <v>177</v>
      </c>
      <c r="M20" s="247" t="s">
        <v>495</v>
      </c>
      <c r="N20" s="249" t="s">
        <v>612</v>
      </c>
      <c r="O20" s="242" t="s">
        <v>59</v>
      </c>
      <c r="P20" s="248" t="s">
        <v>86</v>
      </c>
      <c r="Q20" s="243" t="s">
        <v>424</v>
      </c>
      <c r="R20" s="243" t="s">
        <v>613</v>
      </c>
      <c r="S20" s="249" t="s">
        <v>614</v>
      </c>
      <c r="T20" s="243" t="s">
        <v>228</v>
      </c>
      <c r="U20" s="244" t="s">
        <v>615</v>
      </c>
      <c r="V20" s="244" t="s">
        <v>499</v>
      </c>
      <c r="W20" s="247" t="s">
        <v>368</v>
      </c>
      <c r="X20" s="244"/>
    </row>
    <row r="21" spans="1:24">
      <c r="A21" s="242" t="s">
        <v>490</v>
      </c>
      <c r="B21" s="242" t="s">
        <v>616</v>
      </c>
      <c r="C21" s="243" t="s">
        <v>371</v>
      </c>
      <c r="D21" s="244"/>
      <c r="E21" s="243" t="s">
        <v>32</v>
      </c>
      <c r="F21" s="242" t="s">
        <v>658</v>
      </c>
      <c r="G21" s="242"/>
      <c r="H21" s="242"/>
      <c r="I21" s="242"/>
      <c r="J21" s="245">
        <v>45056</v>
      </c>
      <c r="K21" s="242" t="s">
        <v>619</v>
      </c>
      <c r="L21" s="246" t="s">
        <v>177</v>
      </c>
      <c r="M21" s="247" t="s">
        <v>495</v>
      </c>
      <c r="N21" s="249" t="s">
        <v>620</v>
      </c>
      <c r="O21" s="242" t="s">
        <v>59</v>
      </c>
      <c r="P21" s="248" t="s">
        <v>86</v>
      </c>
      <c r="Q21" s="243" t="s">
        <v>424</v>
      </c>
      <c r="R21" s="243" t="s">
        <v>467</v>
      </c>
      <c r="S21" s="249"/>
      <c r="T21" s="243" t="s">
        <v>228</v>
      </c>
      <c r="U21" s="244" t="s">
        <v>621</v>
      </c>
      <c r="V21" s="244" t="s">
        <v>499</v>
      </c>
      <c r="W21" s="247" t="s">
        <v>368</v>
      </c>
      <c r="X21" s="244"/>
    </row>
    <row r="22" spans="1:24">
      <c r="A22" s="242" t="s">
        <v>490</v>
      </c>
      <c r="B22" s="242" t="s">
        <v>622</v>
      </c>
      <c r="C22" s="243" t="s">
        <v>371</v>
      </c>
      <c r="D22" s="244"/>
      <c r="E22" s="243" t="s">
        <v>32</v>
      </c>
      <c r="F22" s="242" t="s">
        <v>77</v>
      </c>
      <c r="G22" s="242"/>
      <c r="H22" s="242"/>
      <c r="I22" s="242"/>
      <c r="J22" s="245">
        <v>45056</v>
      </c>
      <c r="K22" s="242" t="s">
        <v>625</v>
      </c>
      <c r="L22" s="246" t="s">
        <v>177</v>
      </c>
      <c r="M22" s="247" t="s">
        <v>495</v>
      </c>
      <c r="N22" s="249" t="s">
        <v>626</v>
      </c>
      <c r="O22" s="242" t="s">
        <v>59</v>
      </c>
      <c r="P22" s="248" t="s">
        <v>86</v>
      </c>
      <c r="Q22" s="243" t="s">
        <v>424</v>
      </c>
      <c r="R22" s="243" t="s">
        <v>253</v>
      </c>
      <c r="S22" s="249" t="s">
        <v>627</v>
      </c>
      <c r="T22" s="243" t="s">
        <v>228</v>
      </c>
      <c r="U22" s="244" t="s">
        <v>628</v>
      </c>
      <c r="V22" s="244" t="s">
        <v>499</v>
      </c>
      <c r="W22" s="247" t="s">
        <v>368</v>
      </c>
      <c r="X22" s="244"/>
    </row>
  </sheetData>
  <autoFilter ref="A1:W22" xr:uid="{29D12A48-5D23-42B1-8141-17CE04CCC3DC}"/>
  <conditionalFormatting sqref="C1:D22">
    <cfRule type="containsText" dxfId="10" priority="1" operator="containsText" text="OTW">
      <formula>NOT(ISERROR(SEARCH("OTW",C1)))</formula>
    </cfRule>
    <cfRule type="containsText" dxfId="9" priority="2" operator="containsText" text="NO FOUND">
      <formula>NOT(ISERROR(SEARCH("NO FOUND",C1)))</formula>
    </cfRule>
    <cfRule type="containsText" dxfId="8" priority="3" operator="containsText" text="KEEP">
      <formula>NOT(ISERROR(SEARCH("KEEP",C1)))</formula>
    </cfRule>
    <cfRule type="containsText" dxfId="7" priority="4" operator="containsText" text="USE">
      <formula>NOT(ISERROR(SEARCH("USE",C1)))</formula>
    </cfRule>
    <cfRule type="endsWith" dxfId="6" priority="5" operator="endsWith" text="D">
      <formula>RIGHT(C1,LEN("D"))="D"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5"/>
  <sheetViews>
    <sheetView topLeftCell="A86" workbookViewId="0">
      <selection activeCell="D108" sqref="D108"/>
    </sheetView>
  </sheetViews>
  <sheetFormatPr defaultColWidth="8.85546875" defaultRowHeight="15"/>
  <cols>
    <col min="1" max="1" width="11.140625" customWidth="1"/>
    <col min="2" max="2" width="19.85546875" customWidth="1"/>
    <col min="3" max="3" width="22.140625" customWidth="1"/>
    <col min="4" max="4" width="27.42578125" customWidth="1"/>
    <col min="6" max="6" width="16" customWidth="1"/>
  </cols>
  <sheetData>
    <row r="1" spans="1:4">
      <c r="A1" s="161" t="s">
        <v>789</v>
      </c>
      <c r="B1" s="161" t="s">
        <v>790</v>
      </c>
      <c r="C1" s="161" t="s">
        <v>791</v>
      </c>
      <c r="D1" s="161" t="s">
        <v>16</v>
      </c>
    </row>
    <row r="2" spans="1:4">
      <c r="A2" s="162" t="s">
        <v>792</v>
      </c>
      <c r="B2" s="163" t="s">
        <v>793</v>
      </c>
      <c r="C2" s="163" t="s">
        <v>794</v>
      </c>
      <c r="D2" s="164" t="s">
        <v>795</v>
      </c>
    </row>
    <row r="3" spans="1:4">
      <c r="A3" s="165" t="s">
        <v>796</v>
      </c>
      <c r="B3" t="s">
        <v>797</v>
      </c>
      <c r="C3" t="s">
        <v>798</v>
      </c>
      <c r="D3" s="166" t="s">
        <v>799</v>
      </c>
    </row>
    <row r="4" spans="1:4">
      <c r="A4" s="165" t="s">
        <v>800</v>
      </c>
      <c r="C4" t="s">
        <v>801</v>
      </c>
      <c r="D4" s="166" t="s">
        <v>802</v>
      </c>
    </row>
    <row r="5" spans="1:4">
      <c r="A5" s="167" t="s">
        <v>803</v>
      </c>
      <c r="B5" s="168"/>
      <c r="C5" s="168" t="s">
        <v>804</v>
      </c>
      <c r="D5" s="169" t="s">
        <v>805</v>
      </c>
    </row>
    <row r="6" spans="1:4">
      <c r="A6" s="162" t="s">
        <v>792</v>
      </c>
      <c r="B6" s="163" t="s">
        <v>806</v>
      </c>
      <c r="C6" s="163" t="s">
        <v>807</v>
      </c>
      <c r="D6" s="164" t="s">
        <v>795</v>
      </c>
    </row>
    <row r="7" spans="1:4">
      <c r="A7" s="165" t="s">
        <v>796</v>
      </c>
      <c r="B7" t="s">
        <v>247</v>
      </c>
      <c r="C7" t="s">
        <v>808</v>
      </c>
      <c r="D7" s="166" t="s">
        <v>799</v>
      </c>
    </row>
    <row r="8" spans="1:4">
      <c r="A8" s="165" t="s">
        <v>800</v>
      </c>
      <c r="C8" t="s">
        <v>809</v>
      </c>
      <c r="D8" s="166" t="s">
        <v>802</v>
      </c>
    </row>
    <row r="9" spans="1:4">
      <c r="A9" s="167" t="s">
        <v>803</v>
      </c>
      <c r="B9" s="168"/>
      <c r="C9" s="168" t="s">
        <v>810</v>
      </c>
      <c r="D9" s="169" t="s">
        <v>805</v>
      </c>
    </row>
    <row r="10" spans="1:4">
      <c r="A10" s="162" t="s">
        <v>792</v>
      </c>
      <c r="B10" s="163" t="s">
        <v>811</v>
      </c>
      <c r="C10" s="163" t="s">
        <v>812</v>
      </c>
      <c r="D10" s="164" t="s">
        <v>795</v>
      </c>
    </row>
    <row r="11" spans="1:4">
      <c r="A11" s="165" t="s">
        <v>796</v>
      </c>
      <c r="B11" t="s">
        <v>813</v>
      </c>
      <c r="C11" t="s">
        <v>814</v>
      </c>
      <c r="D11" s="166" t="s">
        <v>799</v>
      </c>
    </row>
    <row r="12" spans="1:4">
      <c r="A12" s="165" t="s">
        <v>800</v>
      </c>
      <c r="C12" t="s">
        <v>815</v>
      </c>
      <c r="D12" s="166" t="s">
        <v>802</v>
      </c>
    </row>
    <row r="13" spans="1:4">
      <c r="A13" s="167" t="s">
        <v>803</v>
      </c>
      <c r="B13" s="168"/>
      <c r="C13" s="168" t="s">
        <v>816</v>
      </c>
      <c r="D13" s="169" t="s">
        <v>805</v>
      </c>
    </row>
    <row r="14" spans="1:4">
      <c r="A14" s="162" t="s">
        <v>792</v>
      </c>
      <c r="B14" s="163" t="s">
        <v>817</v>
      </c>
      <c r="C14" s="163" t="s">
        <v>818</v>
      </c>
      <c r="D14" s="164" t="s">
        <v>795</v>
      </c>
    </row>
    <row r="15" spans="1:4">
      <c r="A15" s="165" t="s">
        <v>796</v>
      </c>
      <c r="B15" t="s">
        <v>819</v>
      </c>
      <c r="C15" t="s">
        <v>820</v>
      </c>
      <c r="D15" s="166" t="s">
        <v>799</v>
      </c>
    </row>
    <row r="16" spans="1:4">
      <c r="A16" s="165" t="s">
        <v>800</v>
      </c>
      <c r="C16" t="s">
        <v>821</v>
      </c>
      <c r="D16" s="166" t="s">
        <v>802</v>
      </c>
    </row>
    <row r="17" spans="1:4">
      <c r="A17" s="167" t="s">
        <v>803</v>
      </c>
      <c r="B17" s="168"/>
      <c r="C17" s="168" t="s">
        <v>822</v>
      </c>
      <c r="D17" s="169" t="s">
        <v>805</v>
      </c>
    </row>
    <row r="18" spans="1:4">
      <c r="A18" s="162" t="s">
        <v>792</v>
      </c>
      <c r="B18" s="163" t="s">
        <v>823</v>
      </c>
      <c r="C18" s="163" t="s">
        <v>824</v>
      </c>
      <c r="D18" s="164" t="s">
        <v>795</v>
      </c>
    </row>
    <row r="19" spans="1:4">
      <c r="A19" s="165" t="s">
        <v>796</v>
      </c>
      <c r="B19" t="s">
        <v>428</v>
      </c>
      <c r="C19" t="s">
        <v>825</v>
      </c>
      <c r="D19" s="166" t="s">
        <v>799</v>
      </c>
    </row>
    <row r="20" spans="1:4">
      <c r="A20" s="165" t="s">
        <v>800</v>
      </c>
      <c r="C20" t="s">
        <v>826</v>
      </c>
      <c r="D20" s="166" t="s">
        <v>802</v>
      </c>
    </row>
    <row r="21" spans="1:4">
      <c r="A21" s="167" t="s">
        <v>803</v>
      </c>
      <c r="B21" s="168"/>
      <c r="C21" s="168" t="s">
        <v>827</v>
      </c>
      <c r="D21" s="169" t="s">
        <v>805</v>
      </c>
    </row>
    <row r="22" spans="1:4">
      <c r="A22" s="162" t="s">
        <v>792</v>
      </c>
      <c r="B22" s="163" t="s">
        <v>828</v>
      </c>
      <c r="C22" s="163" t="s">
        <v>829</v>
      </c>
      <c r="D22" s="164" t="s">
        <v>795</v>
      </c>
    </row>
    <row r="23" spans="1:4">
      <c r="A23" s="165" t="s">
        <v>796</v>
      </c>
      <c r="B23" t="s">
        <v>432</v>
      </c>
      <c r="C23" t="s">
        <v>830</v>
      </c>
      <c r="D23" s="166" t="s">
        <v>799</v>
      </c>
    </row>
    <row r="24" spans="1:4">
      <c r="A24" s="165" t="s">
        <v>800</v>
      </c>
      <c r="C24" t="s">
        <v>831</v>
      </c>
      <c r="D24" s="166" t="s">
        <v>802</v>
      </c>
    </row>
    <row r="25" spans="1:4">
      <c r="A25" s="167" t="s">
        <v>803</v>
      </c>
      <c r="B25" s="168"/>
      <c r="C25" s="168" t="s">
        <v>832</v>
      </c>
      <c r="D25" s="169" t="s">
        <v>805</v>
      </c>
    </row>
    <row r="26" spans="1:4">
      <c r="A26" s="162" t="s">
        <v>792</v>
      </c>
      <c r="B26" s="163" t="s">
        <v>833</v>
      </c>
      <c r="C26" s="163" t="s">
        <v>834</v>
      </c>
      <c r="D26" s="164" t="s">
        <v>795</v>
      </c>
    </row>
    <row r="27" spans="1:4">
      <c r="A27" s="165" t="s">
        <v>796</v>
      </c>
      <c r="B27" t="s">
        <v>835</v>
      </c>
      <c r="C27" t="s">
        <v>836</v>
      </c>
      <c r="D27" s="166" t="s">
        <v>799</v>
      </c>
    </row>
    <row r="28" spans="1:4">
      <c r="A28" s="165" t="s">
        <v>800</v>
      </c>
      <c r="C28" t="s">
        <v>837</v>
      </c>
      <c r="D28" s="166" t="s">
        <v>802</v>
      </c>
    </row>
    <row r="29" spans="1:4">
      <c r="A29" s="167" t="s">
        <v>803</v>
      </c>
      <c r="B29" s="168"/>
      <c r="C29" s="168" t="s">
        <v>838</v>
      </c>
      <c r="D29" s="169" t="s">
        <v>805</v>
      </c>
    </row>
    <row r="30" spans="1:4">
      <c r="A30" s="162" t="s">
        <v>792</v>
      </c>
      <c r="B30" s="163" t="s">
        <v>839</v>
      </c>
      <c r="C30" s="163" t="s">
        <v>840</v>
      </c>
      <c r="D30" s="164" t="s">
        <v>795</v>
      </c>
    </row>
    <row r="31" spans="1:4">
      <c r="A31" s="165" t="s">
        <v>796</v>
      </c>
      <c r="B31" t="s">
        <v>78</v>
      </c>
      <c r="C31" t="s">
        <v>841</v>
      </c>
      <c r="D31" s="166" t="s">
        <v>799</v>
      </c>
    </row>
    <row r="32" spans="1:4">
      <c r="A32" s="165" t="s">
        <v>800</v>
      </c>
      <c r="C32" t="s">
        <v>842</v>
      </c>
      <c r="D32" s="166" t="s">
        <v>802</v>
      </c>
    </row>
    <row r="33" spans="1:4">
      <c r="A33" s="167" t="s">
        <v>803</v>
      </c>
      <c r="B33" s="168"/>
      <c r="C33" s="168" t="s">
        <v>843</v>
      </c>
      <c r="D33" s="169" t="s">
        <v>805</v>
      </c>
    </row>
    <row r="34" spans="1:4">
      <c r="A34" s="162" t="s">
        <v>792</v>
      </c>
      <c r="B34" s="163" t="s">
        <v>844</v>
      </c>
      <c r="C34" s="163" t="s">
        <v>845</v>
      </c>
      <c r="D34" s="164" t="s">
        <v>795</v>
      </c>
    </row>
    <row r="35" spans="1:4">
      <c r="A35" s="165" t="s">
        <v>796</v>
      </c>
      <c r="B35" t="s">
        <v>99</v>
      </c>
      <c r="C35" t="s">
        <v>846</v>
      </c>
      <c r="D35" s="166" t="s">
        <v>799</v>
      </c>
    </row>
    <row r="36" spans="1:4">
      <c r="A36" s="165" t="s">
        <v>800</v>
      </c>
      <c r="C36" t="s">
        <v>847</v>
      </c>
      <c r="D36" s="166" t="s">
        <v>802</v>
      </c>
    </row>
    <row r="37" spans="1:4">
      <c r="A37" s="167" t="s">
        <v>803</v>
      </c>
      <c r="B37" s="168"/>
      <c r="C37" s="168" t="s">
        <v>848</v>
      </c>
      <c r="D37" s="169" t="s">
        <v>805</v>
      </c>
    </row>
    <row r="38" spans="1:4">
      <c r="A38" s="162" t="s">
        <v>792</v>
      </c>
      <c r="B38" s="163" t="s">
        <v>849</v>
      </c>
      <c r="C38" s="163" t="s">
        <v>850</v>
      </c>
      <c r="D38" s="164" t="s">
        <v>795</v>
      </c>
    </row>
    <row r="39" spans="1:4">
      <c r="A39" s="165" t="s">
        <v>796</v>
      </c>
      <c r="B39" t="s">
        <v>851</v>
      </c>
      <c r="C39" t="s">
        <v>852</v>
      </c>
      <c r="D39" s="166" t="s">
        <v>799</v>
      </c>
    </row>
    <row r="40" spans="1:4">
      <c r="A40" s="165" t="s">
        <v>800</v>
      </c>
      <c r="C40" t="s">
        <v>853</v>
      </c>
      <c r="D40" s="166" t="s">
        <v>802</v>
      </c>
    </row>
    <row r="41" spans="1:4">
      <c r="A41" s="167" t="s">
        <v>803</v>
      </c>
      <c r="B41" s="168"/>
      <c r="C41" s="168" t="s">
        <v>854</v>
      </c>
      <c r="D41" s="169" t="s">
        <v>805</v>
      </c>
    </row>
    <row r="42" spans="1:4">
      <c r="A42" s="162" t="s">
        <v>792</v>
      </c>
      <c r="B42" s="163" t="s">
        <v>855</v>
      </c>
      <c r="C42" s="163" t="s">
        <v>856</v>
      </c>
      <c r="D42" s="164" t="s">
        <v>795</v>
      </c>
    </row>
    <row r="43" spans="1:4">
      <c r="A43" s="165" t="s">
        <v>796</v>
      </c>
      <c r="B43" t="s">
        <v>857</v>
      </c>
      <c r="C43" t="s">
        <v>858</v>
      </c>
      <c r="D43" s="166" t="s">
        <v>799</v>
      </c>
    </row>
    <row r="44" spans="1:4">
      <c r="A44" s="165" t="s">
        <v>800</v>
      </c>
      <c r="C44" t="s">
        <v>859</v>
      </c>
      <c r="D44" s="166" t="s">
        <v>802</v>
      </c>
    </row>
    <row r="45" spans="1:4">
      <c r="A45" s="167" t="s">
        <v>803</v>
      </c>
      <c r="B45" s="168"/>
      <c r="C45" s="168" t="s">
        <v>860</v>
      </c>
      <c r="D45" s="169" t="s">
        <v>805</v>
      </c>
    </row>
    <row r="46" spans="1:4">
      <c r="A46" s="162" t="s">
        <v>792</v>
      </c>
      <c r="B46" s="163" t="s">
        <v>861</v>
      </c>
      <c r="C46" s="163" t="s">
        <v>862</v>
      </c>
      <c r="D46" s="164" t="s">
        <v>795</v>
      </c>
    </row>
    <row r="47" spans="1:4">
      <c r="A47" s="165" t="s">
        <v>796</v>
      </c>
      <c r="B47" t="s">
        <v>863</v>
      </c>
      <c r="C47" t="s">
        <v>864</v>
      </c>
      <c r="D47" s="166" t="s">
        <v>799</v>
      </c>
    </row>
    <row r="48" spans="1:4">
      <c r="A48" s="165" t="s">
        <v>800</v>
      </c>
      <c r="C48" t="s">
        <v>865</v>
      </c>
      <c r="D48" s="166" t="s">
        <v>802</v>
      </c>
    </row>
    <row r="49" spans="1:4">
      <c r="A49" s="167" t="s">
        <v>803</v>
      </c>
      <c r="B49" s="168"/>
      <c r="C49" s="168" t="s">
        <v>866</v>
      </c>
      <c r="D49" s="169" t="s">
        <v>805</v>
      </c>
    </row>
    <row r="50" spans="1:4">
      <c r="A50" s="162" t="s">
        <v>792</v>
      </c>
      <c r="B50" s="163" t="s">
        <v>867</v>
      </c>
      <c r="C50" s="163" t="s">
        <v>868</v>
      </c>
      <c r="D50" s="164" t="s">
        <v>795</v>
      </c>
    </row>
    <row r="51" spans="1:4">
      <c r="A51" s="165" t="s">
        <v>796</v>
      </c>
      <c r="B51" t="s">
        <v>869</v>
      </c>
      <c r="C51" t="s">
        <v>870</v>
      </c>
      <c r="D51" s="166" t="s">
        <v>799</v>
      </c>
    </row>
    <row r="52" spans="1:4">
      <c r="A52" s="165" t="s">
        <v>800</v>
      </c>
      <c r="C52" t="s">
        <v>871</v>
      </c>
      <c r="D52" s="166" t="s">
        <v>802</v>
      </c>
    </row>
    <row r="53" spans="1:4">
      <c r="A53" s="167" t="s">
        <v>803</v>
      </c>
      <c r="B53" s="168"/>
      <c r="C53" s="168" t="s">
        <v>872</v>
      </c>
      <c r="D53" s="169" t="s">
        <v>805</v>
      </c>
    </row>
    <row r="54" spans="1:4">
      <c r="A54" s="162" t="s">
        <v>792</v>
      </c>
      <c r="B54" s="163" t="s">
        <v>873</v>
      </c>
      <c r="C54" s="163" t="s">
        <v>874</v>
      </c>
      <c r="D54" s="164" t="s">
        <v>795</v>
      </c>
    </row>
    <row r="55" spans="1:4">
      <c r="A55" s="165" t="s">
        <v>796</v>
      </c>
      <c r="B55" t="s">
        <v>875</v>
      </c>
      <c r="C55" t="s">
        <v>876</v>
      </c>
      <c r="D55" s="166" t="s">
        <v>799</v>
      </c>
    </row>
    <row r="56" spans="1:4">
      <c r="A56" s="165" t="s">
        <v>800</v>
      </c>
      <c r="C56" t="s">
        <v>877</v>
      </c>
      <c r="D56" s="166" t="s">
        <v>802</v>
      </c>
    </row>
    <row r="57" spans="1:4">
      <c r="A57" s="167" t="s">
        <v>803</v>
      </c>
      <c r="B57" s="168"/>
      <c r="C57" s="168" t="s">
        <v>878</v>
      </c>
      <c r="D57" s="169" t="s">
        <v>805</v>
      </c>
    </row>
    <row r="58" spans="1:4">
      <c r="A58" s="162" t="s">
        <v>792</v>
      </c>
      <c r="B58" s="163" t="s">
        <v>879</v>
      </c>
      <c r="C58" s="163" t="s">
        <v>880</v>
      </c>
      <c r="D58" s="164" t="s">
        <v>795</v>
      </c>
    </row>
    <row r="59" spans="1:4">
      <c r="A59" s="165" t="s">
        <v>796</v>
      </c>
      <c r="B59" t="s">
        <v>166</v>
      </c>
      <c r="C59" t="s">
        <v>881</v>
      </c>
      <c r="D59" s="166" t="s">
        <v>799</v>
      </c>
    </row>
    <row r="60" spans="1:4">
      <c r="A60" s="165" t="s">
        <v>800</v>
      </c>
      <c r="C60" t="s">
        <v>882</v>
      </c>
      <c r="D60" s="166" t="s">
        <v>802</v>
      </c>
    </row>
    <row r="61" spans="1:4">
      <c r="A61" s="167" t="s">
        <v>803</v>
      </c>
      <c r="B61" s="168"/>
      <c r="C61" s="168" t="s">
        <v>883</v>
      </c>
      <c r="D61" s="169" t="s">
        <v>805</v>
      </c>
    </row>
    <row r="62" spans="1:4">
      <c r="A62" s="162" t="s">
        <v>792</v>
      </c>
      <c r="B62" s="163" t="s">
        <v>884</v>
      </c>
      <c r="C62" s="163" t="s">
        <v>885</v>
      </c>
      <c r="D62" s="164" t="s">
        <v>795</v>
      </c>
    </row>
    <row r="63" spans="1:4">
      <c r="A63" s="165" t="s">
        <v>796</v>
      </c>
      <c r="B63" t="s">
        <v>886</v>
      </c>
      <c r="C63" t="s">
        <v>887</v>
      </c>
      <c r="D63" s="166" t="s">
        <v>799</v>
      </c>
    </row>
    <row r="64" spans="1:4">
      <c r="A64" s="165" t="s">
        <v>800</v>
      </c>
      <c r="C64" t="s">
        <v>888</v>
      </c>
      <c r="D64" s="166" t="s">
        <v>802</v>
      </c>
    </row>
    <row r="65" spans="1:4">
      <c r="A65" s="167" t="s">
        <v>803</v>
      </c>
      <c r="B65" s="168"/>
      <c r="C65" s="168" t="s">
        <v>889</v>
      </c>
      <c r="D65" s="169" t="s">
        <v>805</v>
      </c>
    </row>
    <row r="66" spans="1:4">
      <c r="A66" s="162" t="s">
        <v>792</v>
      </c>
      <c r="B66" s="163" t="s">
        <v>890</v>
      </c>
      <c r="C66" s="163" t="s">
        <v>891</v>
      </c>
      <c r="D66" s="164" t="s">
        <v>795</v>
      </c>
    </row>
    <row r="67" spans="1:4">
      <c r="A67" s="165" t="s">
        <v>796</v>
      </c>
      <c r="B67" t="s">
        <v>892</v>
      </c>
      <c r="C67" t="s">
        <v>893</v>
      </c>
      <c r="D67" s="166" t="s">
        <v>799</v>
      </c>
    </row>
    <row r="68" spans="1:4">
      <c r="A68" s="165" t="s">
        <v>800</v>
      </c>
      <c r="C68" t="s">
        <v>894</v>
      </c>
      <c r="D68" s="166" t="s">
        <v>802</v>
      </c>
    </row>
    <row r="69" spans="1:4">
      <c r="A69" s="167" t="s">
        <v>803</v>
      </c>
      <c r="B69" s="168"/>
      <c r="C69" s="168" t="s">
        <v>895</v>
      </c>
      <c r="D69" s="169" t="s">
        <v>805</v>
      </c>
    </row>
    <row r="70" spans="1:4">
      <c r="A70" s="162" t="s">
        <v>792</v>
      </c>
      <c r="B70" s="163" t="s">
        <v>896</v>
      </c>
      <c r="C70" s="163" t="s">
        <v>897</v>
      </c>
      <c r="D70" s="164" t="s">
        <v>795</v>
      </c>
    </row>
    <row r="71" spans="1:4">
      <c r="A71" s="165" t="s">
        <v>796</v>
      </c>
      <c r="B71" t="s">
        <v>898</v>
      </c>
      <c r="C71" t="s">
        <v>899</v>
      </c>
      <c r="D71" s="166" t="s">
        <v>799</v>
      </c>
    </row>
    <row r="72" spans="1:4">
      <c r="A72" s="165" t="s">
        <v>800</v>
      </c>
      <c r="C72" t="s">
        <v>900</v>
      </c>
      <c r="D72" s="166" t="s">
        <v>802</v>
      </c>
    </row>
    <row r="73" spans="1:4">
      <c r="A73" s="167" t="s">
        <v>803</v>
      </c>
      <c r="B73" s="168"/>
      <c r="C73" s="168" t="s">
        <v>901</v>
      </c>
      <c r="D73" s="169" t="s">
        <v>805</v>
      </c>
    </row>
    <row r="74" spans="1:4">
      <c r="A74" s="162" t="s">
        <v>792</v>
      </c>
      <c r="B74" s="163" t="s">
        <v>902</v>
      </c>
      <c r="C74" s="163" t="s">
        <v>903</v>
      </c>
      <c r="D74" s="164" t="s">
        <v>795</v>
      </c>
    </row>
    <row r="75" spans="1:4">
      <c r="A75" s="165" t="s">
        <v>796</v>
      </c>
      <c r="B75" t="s">
        <v>904</v>
      </c>
      <c r="C75" t="s">
        <v>905</v>
      </c>
      <c r="D75" s="166" t="s">
        <v>799</v>
      </c>
    </row>
    <row r="76" spans="1:4">
      <c r="A76" s="165" t="s">
        <v>800</v>
      </c>
      <c r="C76" t="s">
        <v>906</v>
      </c>
      <c r="D76" s="166" t="s">
        <v>802</v>
      </c>
    </row>
    <row r="77" spans="1:4">
      <c r="A77" s="167" t="s">
        <v>803</v>
      </c>
      <c r="B77" s="168"/>
      <c r="C77" s="168" t="s">
        <v>907</v>
      </c>
      <c r="D77" s="169" t="s">
        <v>805</v>
      </c>
    </row>
    <row r="78" spans="1:4">
      <c r="A78" s="162" t="s">
        <v>792</v>
      </c>
      <c r="B78" s="163" t="s">
        <v>908</v>
      </c>
      <c r="C78" s="163" t="s">
        <v>909</v>
      </c>
      <c r="D78" s="164" t="s">
        <v>795</v>
      </c>
    </row>
    <row r="79" spans="1:4">
      <c r="A79" s="165" t="s">
        <v>796</v>
      </c>
      <c r="B79" t="s">
        <v>910</v>
      </c>
      <c r="C79" t="s">
        <v>911</v>
      </c>
      <c r="D79" s="166" t="s">
        <v>799</v>
      </c>
    </row>
    <row r="80" spans="1:4">
      <c r="A80" s="165" t="s">
        <v>800</v>
      </c>
      <c r="C80" t="s">
        <v>912</v>
      </c>
      <c r="D80" s="166" t="s">
        <v>802</v>
      </c>
    </row>
    <row r="81" spans="1:4">
      <c r="A81" s="167" t="s">
        <v>803</v>
      </c>
      <c r="B81" s="168"/>
      <c r="C81" s="168" t="s">
        <v>913</v>
      </c>
      <c r="D81" s="169" t="s">
        <v>805</v>
      </c>
    </row>
    <row r="82" spans="1:4">
      <c r="A82" s="162" t="s">
        <v>792</v>
      </c>
      <c r="B82" s="163" t="s">
        <v>914</v>
      </c>
      <c r="C82" s="163" t="s">
        <v>915</v>
      </c>
      <c r="D82" s="164" t="s">
        <v>795</v>
      </c>
    </row>
    <row r="83" spans="1:4">
      <c r="A83" s="165" t="s">
        <v>796</v>
      </c>
      <c r="B83" t="s">
        <v>916</v>
      </c>
      <c r="C83" t="s">
        <v>917</v>
      </c>
      <c r="D83" s="166" t="s">
        <v>799</v>
      </c>
    </row>
    <row r="84" spans="1:4">
      <c r="A84" s="165" t="s">
        <v>800</v>
      </c>
      <c r="C84" t="s">
        <v>918</v>
      </c>
      <c r="D84" s="166" t="s">
        <v>802</v>
      </c>
    </row>
    <row r="85" spans="1:4">
      <c r="A85" s="167" t="s">
        <v>803</v>
      </c>
      <c r="B85" s="168"/>
      <c r="C85" s="168" t="s">
        <v>919</v>
      </c>
      <c r="D85" s="169" t="s">
        <v>805</v>
      </c>
    </row>
    <row r="86" spans="1:4">
      <c r="A86" s="162" t="s">
        <v>792</v>
      </c>
      <c r="B86" s="163" t="s">
        <v>920</v>
      </c>
      <c r="C86" s="163" t="s">
        <v>921</v>
      </c>
      <c r="D86" s="164" t="s">
        <v>795</v>
      </c>
    </row>
    <row r="87" spans="1:4">
      <c r="A87" s="165" t="s">
        <v>796</v>
      </c>
      <c r="B87" t="s">
        <v>922</v>
      </c>
      <c r="C87" t="s">
        <v>923</v>
      </c>
      <c r="D87" s="166" t="s">
        <v>799</v>
      </c>
    </row>
    <row r="88" spans="1:4">
      <c r="A88" s="165" t="s">
        <v>800</v>
      </c>
      <c r="C88" t="s">
        <v>924</v>
      </c>
      <c r="D88" s="166" t="s">
        <v>802</v>
      </c>
    </row>
    <row r="89" spans="1:4">
      <c r="A89" s="167" t="s">
        <v>803</v>
      </c>
      <c r="B89" s="168"/>
      <c r="C89" s="168" t="s">
        <v>925</v>
      </c>
      <c r="D89" s="169" t="s">
        <v>805</v>
      </c>
    </row>
    <row r="90" spans="1:4">
      <c r="A90" s="162" t="s">
        <v>792</v>
      </c>
      <c r="B90" s="163" t="s">
        <v>926</v>
      </c>
      <c r="C90" s="163" t="s">
        <v>927</v>
      </c>
      <c r="D90" s="164" t="s">
        <v>795</v>
      </c>
    </row>
    <row r="91" spans="1:4">
      <c r="A91" s="165" t="s">
        <v>796</v>
      </c>
      <c r="B91" t="s">
        <v>928</v>
      </c>
      <c r="C91" t="s">
        <v>929</v>
      </c>
      <c r="D91" s="166" t="s">
        <v>799</v>
      </c>
    </row>
    <row r="92" spans="1:4">
      <c r="A92" s="165" t="s">
        <v>800</v>
      </c>
      <c r="C92" t="s">
        <v>930</v>
      </c>
      <c r="D92" s="166" t="s">
        <v>802</v>
      </c>
    </row>
    <row r="93" spans="1:4">
      <c r="A93" s="167" t="s">
        <v>803</v>
      </c>
      <c r="B93" s="168"/>
      <c r="C93" s="168" t="s">
        <v>931</v>
      </c>
      <c r="D93" s="169" t="s">
        <v>805</v>
      </c>
    </row>
    <row r="94" spans="1:4">
      <c r="A94" s="162" t="s">
        <v>792</v>
      </c>
      <c r="B94" s="163" t="s">
        <v>932</v>
      </c>
      <c r="C94" s="163" t="s">
        <v>933</v>
      </c>
      <c r="D94" s="164" t="s">
        <v>795</v>
      </c>
    </row>
    <row r="95" spans="1:4">
      <c r="A95" s="165" t="s">
        <v>796</v>
      </c>
      <c r="B95" t="s">
        <v>456</v>
      </c>
      <c r="C95" t="s">
        <v>934</v>
      </c>
      <c r="D95" s="166" t="s">
        <v>799</v>
      </c>
    </row>
    <row r="96" spans="1:4">
      <c r="A96" s="165" t="s">
        <v>800</v>
      </c>
      <c r="C96" t="s">
        <v>935</v>
      </c>
      <c r="D96" s="166" t="s">
        <v>802</v>
      </c>
    </row>
    <row r="97" spans="1:4">
      <c r="A97" s="167" t="s">
        <v>803</v>
      </c>
      <c r="B97" s="168"/>
      <c r="C97" s="168" t="s">
        <v>936</v>
      </c>
      <c r="D97" s="169" t="s">
        <v>805</v>
      </c>
    </row>
    <row r="98" spans="1:4">
      <c r="A98" s="162" t="s">
        <v>792</v>
      </c>
      <c r="B98" s="163" t="s">
        <v>937</v>
      </c>
      <c r="C98" t="s">
        <v>938</v>
      </c>
      <c r="D98" s="164" t="s">
        <v>795</v>
      </c>
    </row>
    <row r="99" spans="1:4">
      <c r="A99" s="165" t="s">
        <v>796</v>
      </c>
      <c r="B99" t="s">
        <v>939</v>
      </c>
      <c r="C99" t="s">
        <v>940</v>
      </c>
      <c r="D99" s="166" t="s">
        <v>799</v>
      </c>
    </row>
    <row r="100" spans="1:4">
      <c r="A100" s="165" t="s">
        <v>800</v>
      </c>
      <c r="C100" t="s">
        <v>941</v>
      </c>
      <c r="D100" s="166" t="s">
        <v>802</v>
      </c>
    </row>
    <row r="101" spans="1:4">
      <c r="A101" s="167" t="s">
        <v>803</v>
      </c>
      <c r="B101" s="168"/>
      <c r="C101" s="168" t="s">
        <v>942</v>
      </c>
      <c r="D101" s="169" t="s">
        <v>805</v>
      </c>
    </row>
    <row r="102" spans="1:4">
      <c r="A102" s="162" t="s">
        <v>792</v>
      </c>
      <c r="B102" s="163" t="s">
        <v>943</v>
      </c>
      <c r="C102" t="s">
        <v>944</v>
      </c>
      <c r="D102" s="164" t="s">
        <v>795</v>
      </c>
    </row>
    <row r="103" spans="1:4">
      <c r="A103" s="165" t="s">
        <v>796</v>
      </c>
      <c r="B103" t="s">
        <v>681</v>
      </c>
      <c r="C103" t="s">
        <v>945</v>
      </c>
      <c r="D103" s="166" t="s">
        <v>799</v>
      </c>
    </row>
    <row r="104" spans="1:4">
      <c r="A104" s="165" t="s">
        <v>800</v>
      </c>
      <c r="B104" t="s">
        <v>53</v>
      </c>
      <c r="C104" t="s">
        <v>946</v>
      </c>
      <c r="D104" s="166" t="s">
        <v>802</v>
      </c>
    </row>
    <row r="105" spans="1:4">
      <c r="A105" s="167" t="s">
        <v>803</v>
      </c>
      <c r="B105" s="168"/>
      <c r="C105" s="168" t="s">
        <v>947</v>
      </c>
      <c r="D105" s="169" t="s">
        <v>805</v>
      </c>
    </row>
    <row r="106" spans="1:4">
      <c r="A106" s="162" t="s">
        <v>792</v>
      </c>
      <c r="B106" s="163" t="s">
        <v>948</v>
      </c>
      <c r="C106" t="s">
        <v>949</v>
      </c>
      <c r="D106" s="164" t="s">
        <v>795</v>
      </c>
    </row>
    <row r="107" spans="1:4">
      <c r="A107" s="165" t="s">
        <v>796</v>
      </c>
      <c r="B107" t="s">
        <v>950</v>
      </c>
      <c r="C107" t="s">
        <v>864</v>
      </c>
      <c r="D107" s="166" t="s">
        <v>799</v>
      </c>
    </row>
    <row r="108" spans="1:4">
      <c r="A108" s="165" t="s">
        <v>800</v>
      </c>
      <c r="B108" t="s">
        <v>79</v>
      </c>
      <c r="C108" t="s">
        <v>951</v>
      </c>
      <c r="D108" s="166" t="s">
        <v>802</v>
      </c>
    </row>
    <row r="109" spans="1:4">
      <c r="A109" s="167" t="s">
        <v>803</v>
      </c>
      <c r="B109" s="168"/>
      <c r="C109" s="168" t="s">
        <v>952</v>
      </c>
      <c r="D109" s="169" t="s">
        <v>805</v>
      </c>
    </row>
    <row r="110" spans="1:4">
      <c r="A110" s="162" t="s">
        <v>792</v>
      </c>
      <c r="B110" s="163" t="s">
        <v>953</v>
      </c>
      <c r="C110" t="s">
        <v>954</v>
      </c>
      <c r="D110" s="164" t="s">
        <v>795</v>
      </c>
    </row>
    <row r="111" spans="1:4">
      <c r="A111" s="165" t="s">
        <v>796</v>
      </c>
      <c r="B111" t="s">
        <v>955</v>
      </c>
      <c r="C111" t="s">
        <v>864</v>
      </c>
      <c r="D111" s="166" t="s">
        <v>799</v>
      </c>
    </row>
    <row r="112" spans="1:4">
      <c r="A112" s="165" t="s">
        <v>800</v>
      </c>
      <c r="B112" t="s">
        <v>118</v>
      </c>
      <c r="C112" t="s">
        <v>956</v>
      </c>
      <c r="D112" s="166" t="s">
        <v>802</v>
      </c>
    </row>
    <row r="113" spans="1:4">
      <c r="A113" s="167" t="s">
        <v>803</v>
      </c>
      <c r="B113" s="168"/>
      <c r="C113" s="168" t="s">
        <v>957</v>
      </c>
      <c r="D113" s="169" t="s">
        <v>805</v>
      </c>
    </row>
    <row r="114" spans="1:4">
      <c r="A114" s="162" t="s">
        <v>792</v>
      </c>
      <c r="B114" s="163" t="s">
        <v>958</v>
      </c>
      <c r="C114" s="170" t="s">
        <v>959</v>
      </c>
      <c r="D114" s="164" t="s">
        <v>795</v>
      </c>
    </row>
    <row r="115" spans="1:4">
      <c r="A115" s="165" t="s">
        <v>796</v>
      </c>
      <c r="B115" t="s">
        <v>470</v>
      </c>
      <c r="C115" t="s">
        <v>960</v>
      </c>
      <c r="D115" s="166" t="s">
        <v>799</v>
      </c>
    </row>
    <row r="116" spans="1:4">
      <c r="A116" s="165" t="s">
        <v>800</v>
      </c>
      <c r="B116" t="s">
        <v>961</v>
      </c>
      <c r="C116" t="s">
        <v>962</v>
      </c>
      <c r="D116" s="166" t="s">
        <v>802</v>
      </c>
    </row>
    <row r="117" spans="1:4">
      <c r="A117" s="167" t="s">
        <v>803</v>
      </c>
      <c r="B117" s="168"/>
      <c r="C117" s="168" t="s">
        <v>963</v>
      </c>
      <c r="D117" s="169" t="s">
        <v>805</v>
      </c>
    </row>
    <row r="118" spans="1:4">
      <c r="A118" s="162" t="s">
        <v>792</v>
      </c>
      <c r="B118" s="163" t="s">
        <v>964</v>
      </c>
      <c r="D118" s="164" t="s">
        <v>795</v>
      </c>
    </row>
    <row r="119" spans="1:4">
      <c r="A119" s="165" t="s">
        <v>796</v>
      </c>
      <c r="B119" t="s">
        <v>476</v>
      </c>
      <c r="C119" t="s">
        <v>864</v>
      </c>
      <c r="D119" s="166" t="s">
        <v>799</v>
      </c>
    </row>
    <row r="120" spans="1:4">
      <c r="A120" s="165" t="s">
        <v>800</v>
      </c>
      <c r="B120" t="s">
        <v>181</v>
      </c>
      <c r="C120" t="s">
        <v>956</v>
      </c>
      <c r="D120" s="166" t="s">
        <v>802</v>
      </c>
    </row>
    <row r="121" spans="1:4">
      <c r="A121" s="167" t="s">
        <v>803</v>
      </c>
      <c r="B121" s="168"/>
      <c r="C121" s="168" t="s">
        <v>957</v>
      </c>
      <c r="D121" s="169" t="s">
        <v>805</v>
      </c>
    </row>
    <row r="122" spans="1:4">
      <c r="A122" s="162" t="s">
        <v>792</v>
      </c>
      <c r="B122" s="163" t="s">
        <v>965</v>
      </c>
      <c r="C122" s="170"/>
      <c r="D122" s="164" t="s">
        <v>795</v>
      </c>
    </row>
    <row r="123" spans="1:4">
      <c r="A123" s="165" t="s">
        <v>796</v>
      </c>
      <c r="B123" t="s">
        <v>481</v>
      </c>
      <c r="C123" t="s">
        <v>960</v>
      </c>
      <c r="D123" s="166" t="s">
        <v>799</v>
      </c>
    </row>
    <row r="124" spans="1:4">
      <c r="A124" s="165" t="s">
        <v>800</v>
      </c>
      <c r="B124" t="s">
        <v>181</v>
      </c>
      <c r="C124" t="s">
        <v>962</v>
      </c>
      <c r="D124" s="166" t="s">
        <v>802</v>
      </c>
    </row>
    <row r="125" spans="1:4">
      <c r="A125" s="167" t="s">
        <v>803</v>
      </c>
      <c r="B125" s="168"/>
      <c r="C125" s="168" t="s">
        <v>963</v>
      </c>
      <c r="D125" s="169" t="s">
        <v>805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98"/>
  <sheetViews>
    <sheetView zoomScale="85" zoomScaleNormal="85" workbookViewId="0">
      <pane ySplit="4" topLeftCell="A5" activePane="bottomLeft" state="frozen"/>
      <selection pane="bottomLeft" activeCell="F19" sqref="F19"/>
    </sheetView>
  </sheetViews>
  <sheetFormatPr defaultColWidth="8.42578125" defaultRowHeight="15"/>
  <cols>
    <col min="1" max="1" width="9.28515625" style="4" customWidth="1"/>
    <col min="2" max="2" width="10.28515625" style="5" bestFit="1" customWidth="1"/>
    <col min="3" max="3" width="12.28515625" style="1" hidden="1" customWidth="1"/>
    <col min="4" max="4" width="9" style="4" hidden="1" customWidth="1"/>
    <col min="5" max="5" width="12.28515625" style="4" hidden="1" customWidth="1"/>
    <col min="6" max="6" width="30.85546875" style="2" customWidth="1"/>
    <col min="7" max="7" width="15.140625" style="2" bestFit="1" customWidth="1"/>
    <col min="8" max="8" width="13.42578125" style="2" bestFit="1" customWidth="1"/>
    <col min="9" max="9" width="26.28515625" style="2" bestFit="1" customWidth="1"/>
    <col min="10" max="10" width="9.28515625" style="2" bestFit="1" customWidth="1"/>
    <col min="11" max="11" width="13.42578125" style="14" bestFit="1" customWidth="1"/>
    <col min="12" max="12" width="20.140625" style="2" bestFit="1" customWidth="1"/>
    <col min="13" max="13" width="9.28515625" style="2" bestFit="1" customWidth="1"/>
    <col min="14" max="14" width="17.42578125" style="3" bestFit="1" customWidth="1"/>
    <col min="15" max="15" width="14.28515625" style="2" bestFit="1" customWidth="1"/>
    <col min="16" max="16" width="8.85546875" style="2" bestFit="1" customWidth="1"/>
    <col min="17" max="18" width="34.140625" style="2" bestFit="1" customWidth="1"/>
    <col min="19" max="19" width="30.85546875" style="2" bestFit="1" customWidth="1"/>
    <col min="20" max="20" width="36" style="2" bestFit="1" customWidth="1"/>
    <col min="21" max="21" width="22.42578125" style="2" bestFit="1" customWidth="1"/>
    <col min="22" max="22" width="16.140625" style="2" bestFit="1" customWidth="1"/>
    <col min="23" max="23" width="13.42578125" style="2" bestFit="1" customWidth="1"/>
    <col min="24" max="24" width="18.42578125" style="2" bestFit="1" customWidth="1"/>
    <col min="25" max="25" width="36.42578125" style="2" bestFit="1" customWidth="1"/>
    <col min="26" max="26" width="47" style="2" bestFit="1" customWidth="1"/>
    <col min="27" max="27" width="35.28515625" style="2" bestFit="1" customWidth="1"/>
    <col min="28" max="28" width="32.42578125" style="2" bestFit="1" customWidth="1"/>
    <col min="29" max="29" width="20.140625" style="2" bestFit="1" customWidth="1"/>
    <col min="30" max="30" width="23.28515625" style="2" bestFit="1" customWidth="1"/>
    <col min="31" max="31" width="21.28515625" style="2" bestFit="1" customWidth="1"/>
  </cols>
  <sheetData>
    <row r="1" spans="1:31" s="87" customFormat="1" ht="21">
      <c r="A1" s="97" t="s">
        <v>966</v>
      </c>
      <c r="C1" s="83"/>
      <c r="D1" s="81"/>
      <c r="E1" s="81"/>
      <c r="F1" s="84"/>
      <c r="G1" s="84"/>
      <c r="H1" s="84"/>
      <c r="I1" s="84"/>
      <c r="J1" s="84"/>
      <c r="K1" s="85"/>
      <c r="L1" s="84"/>
      <c r="M1" s="84"/>
      <c r="N1" s="86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 spans="1:31" s="87" customFormat="1" ht="18.75">
      <c r="A2" s="84" t="s">
        <v>967</v>
      </c>
      <c r="B2" s="82"/>
      <c r="C2" s="83"/>
      <c r="D2" s="81"/>
      <c r="E2" s="81"/>
      <c r="G2" s="84"/>
      <c r="H2" s="84"/>
      <c r="I2" s="84"/>
      <c r="J2" s="84"/>
      <c r="K2" s="85"/>
      <c r="L2" s="84"/>
      <c r="M2" s="84"/>
      <c r="N2" s="86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</row>
    <row r="3" spans="1:31" s="80" customFormat="1" ht="15.75">
      <c r="A3" s="72"/>
      <c r="B3" s="73"/>
      <c r="C3" s="72"/>
      <c r="D3" s="74"/>
      <c r="E3" s="74"/>
      <c r="F3" s="75"/>
      <c r="G3" s="76"/>
      <c r="H3" s="76"/>
      <c r="I3" s="77"/>
      <c r="J3" s="77"/>
      <c r="K3" s="78"/>
      <c r="L3" s="77"/>
      <c r="M3" s="77"/>
      <c r="N3" s="79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</row>
    <row r="4" spans="1:31">
      <c r="A4" s="65" t="s">
        <v>968</v>
      </c>
      <c r="B4" s="64" t="s">
        <v>790</v>
      </c>
      <c r="C4" s="65" t="s">
        <v>969</v>
      </c>
      <c r="D4" s="65" t="s">
        <v>970</v>
      </c>
      <c r="E4" s="65" t="s">
        <v>971</v>
      </c>
      <c r="F4" s="66" t="s">
        <v>2</v>
      </c>
      <c r="G4" s="66" t="s">
        <v>3</v>
      </c>
      <c r="H4" s="66" t="s">
        <v>5</v>
      </c>
      <c r="I4" s="66" t="s">
        <v>6</v>
      </c>
      <c r="J4" s="67" t="s">
        <v>9</v>
      </c>
      <c r="K4" s="66" t="s">
        <v>10</v>
      </c>
      <c r="L4" s="66" t="s">
        <v>972</v>
      </c>
      <c r="M4" s="68" t="s">
        <v>11</v>
      </c>
      <c r="N4" s="66" t="s">
        <v>973</v>
      </c>
      <c r="O4" s="66" t="s">
        <v>14</v>
      </c>
      <c r="P4" s="66" t="s">
        <v>15</v>
      </c>
      <c r="Q4" s="66" t="s">
        <v>16</v>
      </c>
      <c r="R4" s="66" t="s">
        <v>17</v>
      </c>
      <c r="S4" s="66" t="s">
        <v>18</v>
      </c>
      <c r="T4" s="66" t="s">
        <v>19</v>
      </c>
      <c r="U4" s="66" t="s">
        <v>20</v>
      </c>
      <c r="V4" s="66" t="s">
        <v>974</v>
      </c>
      <c r="W4" s="69" t="s">
        <v>21</v>
      </c>
      <c r="X4" s="66" t="s">
        <v>22</v>
      </c>
      <c r="Y4" s="66" t="s">
        <v>23</v>
      </c>
      <c r="Z4" s="66" t="s">
        <v>24</v>
      </c>
      <c r="AA4" s="66" t="s">
        <v>975</v>
      </c>
      <c r="AB4" s="66" t="s">
        <v>976</v>
      </c>
      <c r="AC4" s="66" t="s">
        <v>975</v>
      </c>
      <c r="AD4" s="66" t="s">
        <v>976</v>
      </c>
      <c r="AE4"/>
    </row>
    <row r="5" spans="1:31">
      <c r="A5" s="16">
        <v>1</v>
      </c>
      <c r="B5" s="6" t="s">
        <v>977</v>
      </c>
      <c r="C5" s="6" t="s">
        <v>978</v>
      </c>
      <c r="D5" s="16">
        <v>9</v>
      </c>
      <c r="E5" s="16" t="s">
        <v>979</v>
      </c>
      <c r="F5" s="9" t="s">
        <v>980</v>
      </c>
      <c r="G5" s="9" t="s">
        <v>76</v>
      </c>
      <c r="H5" s="9" t="s">
        <v>51</v>
      </c>
      <c r="I5" s="10" t="s">
        <v>981</v>
      </c>
      <c r="J5" s="15" t="s">
        <v>982</v>
      </c>
      <c r="K5" s="9" t="s">
        <v>983</v>
      </c>
      <c r="L5" s="9" t="s">
        <v>984</v>
      </c>
      <c r="M5" s="11">
        <v>2013</v>
      </c>
      <c r="N5" s="9" t="s">
        <v>985</v>
      </c>
      <c r="O5" s="9" t="s">
        <v>986</v>
      </c>
      <c r="P5" s="12" t="s">
        <v>38</v>
      </c>
      <c r="Q5" s="12" t="s">
        <v>987</v>
      </c>
      <c r="R5" s="9" t="s">
        <v>988</v>
      </c>
      <c r="S5" s="9" t="s">
        <v>989</v>
      </c>
      <c r="T5" s="9" t="s">
        <v>990</v>
      </c>
      <c r="U5" s="9" t="s">
        <v>991</v>
      </c>
      <c r="V5" s="13" t="s">
        <v>992</v>
      </c>
      <c r="W5" s="13" t="s">
        <v>44</v>
      </c>
      <c r="X5" s="9" t="s">
        <v>993</v>
      </c>
      <c r="Y5" s="9" t="s">
        <v>46</v>
      </c>
      <c r="Z5" s="9" t="s">
        <v>994</v>
      </c>
      <c r="AA5" s="9" t="s">
        <v>48</v>
      </c>
      <c r="AB5" s="9" t="s">
        <v>48</v>
      </c>
      <c r="AC5" s="9" t="s">
        <v>48</v>
      </c>
      <c r="AD5" s="9" t="s">
        <v>48</v>
      </c>
      <c r="AE5"/>
    </row>
    <row r="6" spans="1:31">
      <c r="A6" s="16">
        <v>2</v>
      </c>
      <c r="B6" s="6" t="s">
        <v>995</v>
      </c>
      <c r="C6" s="6"/>
      <c r="D6" s="16"/>
      <c r="E6" s="16" t="s">
        <v>996</v>
      </c>
      <c r="F6" s="9" t="s">
        <v>997</v>
      </c>
      <c r="G6" s="9" t="s">
        <v>76</v>
      </c>
      <c r="H6" s="9" t="s">
        <v>51</v>
      </c>
      <c r="I6" s="10" t="s">
        <v>998</v>
      </c>
      <c r="J6" s="15" t="s">
        <v>982</v>
      </c>
      <c r="K6" s="9" t="s">
        <v>983</v>
      </c>
      <c r="L6" s="9" t="s">
        <v>984</v>
      </c>
      <c r="M6" s="11">
        <v>2013</v>
      </c>
      <c r="N6" s="9" t="s">
        <v>999</v>
      </c>
      <c r="O6" s="10" t="s">
        <v>1000</v>
      </c>
      <c r="P6" s="12" t="s">
        <v>1001</v>
      </c>
      <c r="Q6" s="12" t="s">
        <v>987</v>
      </c>
      <c r="R6" s="9" t="s">
        <v>1002</v>
      </c>
      <c r="S6" s="9" t="s">
        <v>1003</v>
      </c>
      <c r="T6" s="9" t="s">
        <v>1004</v>
      </c>
      <c r="U6" s="9" t="s">
        <v>991</v>
      </c>
      <c r="V6" s="13" t="s">
        <v>992</v>
      </c>
      <c r="W6" s="13" t="s">
        <v>44</v>
      </c>
      <c r="X6" s="9" t="s">
        <v>993</v>
      </c>
      <c r="Y6" s="9" t="s">
        <v>46</v>
      </c>
      <c r="Z6" s="9" t="s">
        <v>1005</v>
      </c>
      <c r="AA6" s="9" t="s">
        <v>48</v>
      </c>
      <c r="AB6" s="9" t="s">
        <v>48</v>
      </c>
      <c r="AC6" s="9" t="s">
        <v>48</v>
      </c>
      <c r="AD6" s="9" t="s">
        <v>48</v>
      </c>
      <c r="AE6"/>
    </row>
    <row r="7" spans="1:31">
      <c r="A7" s="16">
        <v>3</v>
      </c>
      <c r="B7" s="6" t="s">
        <v>1006</v>
      </c>
      <c r="C7" s="6" t="s">
        <v>978</v>
      </c>
      <c r="D7" s="16">
        <v>39</v>
      </c>
      <c r="E7" s="16" t="s">
        <v>1007</v>
      </c>
      <c r="F7" s="9" t="s">
        <v>1008</v>
      </c>
      <c r="G7" s="9" t="s">
        <v>76</v>
      </c>
      <c r="H7" s="9" t="s">
        <v>51</v>
      </c>
      <c r="I7" s="10" t="s">
        <v>1009</v>
      </c>
      <c r="J7" s="15" t="s">
        <v>982</v>
      </c>
      <c r="K7" s="9" t="s">
        <v>983</v>
      </c>
      <c r="L7" s="9" t="s">
        <v>984</v>
      </c>
      <c r="M7" s="11">
        <v>2014</v>
      </c>
      <c r="N7" s="9" t="s">
        <v>1010</v>
      </c>
      <c r="O7" s="10" t="s">
        <v>1011</v>
      </c>
      <c r="P7" s="12" t="s">
        <v>38</v>
      </c>
      <c r="Q7" s="12" t="s">
        <v>1012</v>
      </c>
      <c r="R7" s="9" t="s">
        <v>1013</v>
      </c>
      <c r="S7" s="9" t="s">
        <v>1003</v>
      </c>
      <c r="T7" s="9" t="s">
        <v>1004</v>
      </c>
      <c r="U7" s="9" t="s">
        <v>1014</v>
      </c>
      <c r="V7" s="13" t="s">
        <v>1015</v>
      </c>
      <c r="W7" s="13" t="s">
        <v>44</v>
      </c>
      <c r="X7" s="9" t="s">
        <v>45</v>
      </c>
      <c r="Y7" s="9" t="s">
        <v>46</v>
      </c>
      <c r="Z7" s="9" t="s">
        <v>1016</v>
      </c>
      <c r="AA7" s="9" t="s">
        <v>48</v>
      </c>
      <c r="AB7" s="9" t="s">
        <v>48</v>
      </c>
      <c r="AC7" s="9" t="s">
        <v>48</v>
      </c>
      <c r="AD7" s="9" t="s">
        <v>48</v>
      </c>
      <c r="AE7"/>
    </row>
    <row r="8" spans="1:31">
      <c r="A8" s="16">
        <v>4</v>
      </c>
      <c r="B8" s="6" t="s">
        <v>1017</v>
      </c>
      <c r="C8" s="6" t="s">
        <v>978</v>
      </c>
      <c r="D8" s="16">
        <v>33</v>
      </c>
      <c r="E8" s="8" t="s">
        <v>1018</v>
      </c>
      <c r="F8" s="9" t="s">
        <v>1019</v>
      </c>
      <c r="G8" s="9" t="s">
        <v>76</v>
      </c>
      <c r="H8" s="9" t="s">
        <v>51</v>
      </c>
      <c r="I8" s="10" t="s">
        <v>1020</v>
      </c>
      <c r="J8" s="15" t="s">
        <v>982</v>
      </c>
      <c r="K8" s="9" t="s">
        <v>983</v>
      </c>
      <c r="L8" s="9" t="s">
        <v>984</v>
      </c>
      <c r="M8" s="11">
        <v>42705</v>
      </c>
      <c r="N8" s="9" t="s">
        <v>1021</v>
      </c>
      <c r="O8" s="9" t="s">
        <v>1022</v>
      </c>
      <c r="P8" s="12" t="s">
        <v>56</v>
      </c>
      <c r="Q8" s="12" t="s">
        <v>57</v>
      </c>
      <c r="R8" s="9" t="s">
        <v>1023</v>
      </c>
      <c r="S8" s="9" t="s">
        <v>1003</v>
      </c>
      <c r="T8" s="9" t="s">
        <v>1024</v>
      </c>
      <c r="U8" s="9" t="s">
        <v>61</v>
      </c>
      <c r="V8" s="32" t="s">
        <v>1025</v>
      </c>
      <c r="W8" s="32" t="s">
        <v>62</v>
      </c>
      <c r="X8" s="9" t="s">
        <v>45</v>
      </c>
      <c r="Y8" s="9" t="s">
        <v>88</v>
      </c>
      <c r="Z8" s="9" t="s">
        <v>1026</v>
      </c>
      <c r="AA8" s="9" t="s">
        <v>48</v>
      </c>
      <c r="AB8" s="9" t="s">
        <v>48</v>
      </c>
      <c r="AC8" s="9" t="s">
        <v>48</v>
      </c>
      <c r="AD8" s="9" t="s">
        <v>48</v>
      </c>
      <c r="AE8"/>
    </row>
    <row r="9" spans="1:31">
      <c r="A9" s="16">
        <v>5</v>
      </c>
      <c r="B9" s="6" t="s">
        <v>1027</v>
      </c>
      <c r="C9" s="6" t="s">
        <v>978</v>
      </c>
      <c r="D9" s="16">
        <v>38</v>
      </c>
      <c r="E9" s="16" t="s">
        <v>1028</v>
      </c>
      <c r="F9" s="9" t="s">
        <v>1029</v>
      </c>
      <c r="G9" s="9" t="s">
        <v>76</v>
      </c>
      <c r="H9" s="9" t="s">
        <v>51</v>
      </c>
      <c r="I9" s="10" t="s">
        <v>1030</v>
      </c>
      <c r="J9" s="15" t="s">
        <v>982</v>
      </c>
      <c r="K9" s="9" t="s">
        <v>983</v>
      </c>
      <c r="L9" s="9" t="s">
        <v>984</v>
      </c>
      <c r="M9" s="11">
        <v>42705</v>
      </c>
      <c r="N9" s="9" t="s">
        <v>1031</v>
      </c>
      <c r="O9" s="10" t="s">
        <v>1032</v>
      </c>
      <c r="P9" s="12" t="s">
        <v>56</v>
      </c>
      <c r="Q9" s="12" t="s">
        <v>57</v>
      </c>
      <c r="R9" s="9" t="s">
        <v>1033</v>
      </c>
      <c r="S9" s="9" t="s">
        <v>1003</v>
      </c>
      <c r="T9" s="9" t="s">
        <v>1034</v>
      </c>
      <c r="U9" s="9" t="s">
        <v>61</v>
      </c>
      <c r="V9" s="32" t="s">
        <v>1025</v>
      </c>
      <c r="W9" s="32" t="s">
        <v>62</v>
      </c>
      <c r="X9" s="9" t="s">
        <v>45</v>
      </c>
      <c r="Y9" s="9" t="s">
        <v>88</v>
      </c>
      <c r="Z9" s="9" t="s">
        <v>1035</v>
      </c>
      <c r="AA9" s="9" t="s">
        <v>48</v>
      </c>
      <c r="AB9" s="9" t="s">
        <v>48</v>
      </c>
      <c r="AC9" s="9" t="s">
        <v>48</v>
      </c>
      <c r="AD9" s="9" t="s">
        <v>48</v>
      </c>
      <c r="AE9"/>
    </row>
    <row r="10" spans="1:31">
      <c r="A10" s="16">
        <v>6</v>
      </c>
      <c r="B10" s="6" t="s">
        <v>1036</v>
      </c>
      <c r="C10" s="6" t="s">
        <v>978</v>
      </c>
      <c r="D10" s="16">
        <v>37</v>
      </c>
      <c r="E10" s="16" t="s">
        <v>1037</v>
      </c>
      <c r="F10" s="9" t="s">
        <v>1038</v>
      </c>
      <c r="G10" s="9" t="s">
        <v>76</v>
      </c>
      <c r="H10" s="9" t="s">
        <v>51</v>
      </c>
      <c r="I10" s="10" t="s">
        <v>1039</v>
      </c>
      <c r="J10" s="15" t="s">
        <v>982</v>
      </c>
      <c r="K10" s="9" t="s">
        <v>983</v>
      </c>
      <c r="L10" s="9" t="s">
        <v>984</v>
      </c>
      <c r="M10" s="11">
        <v>42705</v>
      </c>
      <c r="N10" s="9" t="s">
        <v>54</v>
      </c>
      <c r="O10" s="9" t="s">
        <v>55</v>
      </c>
      <c r="P10" s="12" t="s">
        <v>56</v>
      </c>
      <c r="Q10" s="12" t="s">
        <v>57</v>
      </c>
      <c r="R10" s="9" t="s">
        <v>58</v>
      </c>
      <c r="S10" s="9" t="s">
        <v>41</v>
      </c>
      <c r="T10" s="32" t="s">
        <v>60</v>
      </c>
      <c r="U10" s="9" t="s">
        <v>61</v>
      </c>
      <c r="V10" s="32" t="s">
        <v>1025</v>
      </c>
      <c r="W10" s="32" t="s">
        <v>62</v>
      </c>
      <c r="X10" s="9" t="s">
        <v>45</v>
      </c>
      <c r="Y10" s="9" t="s">
        <v>88</v>
      </c>
      <c r="Z10" s="9" t="s">
        <v>718</v>
      </c>
      <c r="AA10" s="9" t="s">
        <v>48</v>
      </c>
      <c r="AB10" s="9" t="s">
        <v>48</v>
      </c>
      <c r="AC10" s="9" t="s">
        <v>48</v>
      </c>
      <c r="AD10" s="9" t="s">
        <v>48</v>
      </c>
      <c r="AE10"/>
    </row>
    <row r="11" spans="1:31">
      <c r="A11" s="16">
        <v>7</v>
      </c>
      <c r="B11" s="6" t="s">
        <v>1040</v>
      </c>
      <c r="C11" s="7"/>
      <c r="D11" s="8"/>
      <c r="E11" s="8"/>
      <c r="F11" s="9" t="s">
        <v>1041</v>
      </c>
      <c r="G11" s="9" t="s">
        <v>76</v>
      </c>
      <c r="H11" s="9" t="s">
        <v>51</v>
      </c>
      <c r="I11" s="10" t="s">
        <v>1042</v>
      </c>
      <c r="J11" s="15" t="s">
        <v>982</v>
      </c>
      <c r="K11" s="9" t="s">
        <v>983</v>
      </c>
      <c r="L11" s="9" t="s">
        <v>984</v>
      </c>
      <c r="M11" s="11">
        <v>42705</v>
      </c>
      <c r="N11" s="9" t="s">
        <v>1043</v>
      </c>
      <c r="O11" s="10" t="s">
        <v>1044</v>
      </c>
      <c r="P11" s="12" t="s">
        <v>56</v>
      </c>
      <c r="Q11" s="12" t="s">
        <v>57</v>
      </c>
      <c r="R11" s="9" t="s">
        <v>1045</v>
      </c>
      <c r="S11" s="9" t="s">
        <v>1003</v>
      </c>
      <c r="T11" s="32" t="s">
        <v>1046</v>
      </c>
      <c r="U11" s="9" t="s">
        <v>61</v>
      </c>
      <c r="V11" s="32" t="s">
        <v>1025</v>
      </c>
      <c r="W11" s="32" t="s">
        <v>62</v>
      </c>
      <c r="X11" s="9" t="s">
        <v>45</v>
      </c>
      <c r="Y11" s="9" t="s">
        <v>88</v>
      </c>
      <c r="Z11" s="32" t="s">
        <v>488</v>
      </c>
      <c r="AA11" s="9" t="s">
        <v>48</v>
      </c>
      <c r="AB11" s="9" t="s">
        <v>48</v>
      </c>
      <c r="AC11" s="9" t="s">
        <v>48</v>
      </c>
      <c r="AD11" s="9" t="s">
        <v>48</v>
      </c>
      <c r="AE11"/>
    </row>
    <row r="12" spans="1:31">
      <c r="A12" s="16">
        <v>8</v>
      </c>
      <c r="B12" s="6" t="s">
        <v>1047</v>
      </c>
      <c r="C12" s="6" t="s">
        <v>978</v>
      </c>
      <c r="D12" s="16">
        <v>36</v>
      </c>
      <c r="E12" s="16" t="s">
        <v>1048</v>
      </c>
      <c r="F12" s="9" t="s">
        <v>1049</v>
      </c>
      <c r="G12" s="9" t="s">
        <v>76</v>
      </c>
      <c r="H12" s="9" t="s">
        <v>51</v>
      </c>
      <c r="I12" s="10" t="s">
        <v>1050</v>
      </c>
      <c r="J12" s="15" t="s">
        <v>982</v>
      </c>
      <c r="K12" s="9" t="s">
        <v>983</v>
      </c>
      <c r="L12" s="9" t="s">
        <v>984</v>
      </c>
      <c r="M12" s="11">
        <v>42705</v>
      </c>
      <c r="N12" s="9" t="s">
        <v>1051</v>
      </c>
      <c r="O12" s="9" t="s">
        <v>1052</v>
      </c>
      <c r="P12" s="12" t="s">
        <v>56</v>
      </c>
      <c r="Q12" s="12" t="s">
        <v>57</v>
      </c>
      <c r="R12" s="9" t="s">
        <v>1053</v>
      </c>
      <c r="S12" s="9" t="s">
        <v>1003</v>
      </c>
      <c r="T12" s="32" t="s">
        <v>1054</v>
      </c>
      <c r="U12" s="9" t="s">
        <v>61</v>
      </c>
      <c r="V12" s="32" t="s">
        <v>1025</v>
      </c>
      <c r="W12" s="32" t="s">
        <v>62</v>
      </c>
      <c r="X12" s="9" t="s">
        <v>45</v>
      </c>
      <c r="Y12" s="9" t="s">
        <v>88</v>
      </c>
      <c r="Z12" s="9" t="s">
        <v>1055</v>
      </c>
      <c r="AA12" s="9" t="s">
        <v>48</v>
      </c>
      <c r="AB12" s="9" t="s">
        <v>48</v>
      </c>
      <c r="AC12" s="9" t="s">
        <v>48</v>
      </c>
      <c r="AD12" s="9" t="s">
        <v>48</v>
      </c>
      <c r="AE12"/>
    </row>
    <row r="13" spans="1:31">
      <c r="A13" s="16">
        <v>9</v>
      </c>
      <c r="B13" s="22" t="s">
        <v>1056</v>
      </c>
      <c r="C13" s="36" t="s">
        <v>1018</v>
      </c>
      <c r="D13" s="33" t="s">
        <v>1018</v>
      </c>
      <c r="E13" s="33" t="s">
        <v>1018</v>
      </c>
      <c r="F13" s="10" t="s">
        <v>1057</v>
      </c>
      <c r="G13" s="10" t="s">
        <v>76</v>
      </c>
      <c r="H13" s="10" t="s">
        <v>32</v>
      </c>
      <c r="I13" s="10" t="s">
        <v>1058</v>
      </c>
      <c r="J13" s="15" t="s">
        <v>982</v>
      </c>
      <c r="K13" s="10" t="s">
        <v>983</v>
      </c>
      <c r="L13" s="10" t="s">
        <v>984</v>
      </c>
      <c r="M13" s="11">
        <v>42976</v>
      </c>
      <c r="N13" s="10" t="s">
        <v>1059</v>
      </c>
      <c r="O13" s="10" t="s">
        <v>1060</v>
      </c>
      <c r="P13" s="10" t="s">
        <v>38</v>
      </c>
      <c r="Q13" s="37" t="s">
        <v>82</v>
      </c>
      <c r="R13" s="10" t="s">
        <v>1061</v>
      </c>
      <c r="S13" s="10" t="s">
        <v>1062</v>
      </c>
      <c r="T13" s="10" t="s">
        <v>1063</v>
      </c>
      <c r="U13" s="10" t="s">
        <v>85</v>
      </c>
      <c r="V13" s="10" t="s">
        <v>1064</v>
      </c>
      <c r="W13" s="10" t="s">
        <v>86</v>
      </c>
      <c r="X13" s="10" t="s">
        <v>87</v>
      </c>
      <c r="Y13" s="10" t="s">
        <v>88</v>
      </c>
      <c r="Z13" s="10" t="s">
        <v>1065</v>
      </c>
      <c r="AA13" s="10" t="s">
        <v>48</v>
      </c>
      <c r="AB13" s="10" t="s">
        <v>48</v>
      </c>
      <c r="AC13" s="10" t="s">
        <v>48</v>
      </c>
      <c r="AD13" s="10" t="s">
        <v>48</v>
      </c>
      <c r="AE13"/>
    </row>
    <row r="14" spans="1:31">
      <c r="A14" s="16">
        <v>10</v>
      </c>
      <c r="B14" s="22" t="s">
        <v>1066</v>
      </c>
      <c r="C14" s="36" t="s">
        <v>1018</v>
      </c>
      <c r="D14" s="33" t="s">
        <v>1018</v>
      </c>
      <c r="E14" s="33" t="s">
        <v>1018</v>
      </c>
      <c r="F14" s="10" t="s">
        <v>1067</v>
      </c>
      <c r="G14" s="10" t="s">
        <v>76</v>
      </c>
      <c r="H14" s="10" t="s">
        <v>32</v>
      </c>
      <c r="I14" s="10" t="s">
        <v>1068</v>
      </c>
      <c r="J14" s="15" t="s">
        <v>982</v>
      </c>
      <c r="K14" s="10" t="s">
        <v>983</v>
      </c>
      <c r="L14" s="10" t="s">
        <v>984</v>
      </c>
      <c r="M14" s="11">
        <v>42976</v>
      </c>
      <c r="N14" s="10" t="s">
        <v>1069</v>
      </c>
      <c r="O14" s="10" t="s">
        <v>1070</v>
      </c>
      <c r="P14" s="10" t="s">
        <v>38</v>
      </c>
      <c r="Q14" s="37" t="s">
        <v>82</v>
      </c>
      <c r="R14" s="10" t="s">
        <v>83</v>
      </c>
      <c r="S14" s="10" t="s">
        <v>1062</v>
      </c>
      <c r="T14" s="10" t="s">
        <v>84</v>
      </c>
      <c r="U14" s="10" t="s">
        <v>85</v>
      </c>
      <c r="V14" s="10" t="s">
        <v>1064</v>
      </c>
      <c r="W14" s="10" t="s">
        <v>86</v>
      </c>
      <c r="X14" s="10" t="s">
        <v>87</v>
      </c>
      <c r="Y14" s="10" t="s">
        <v>88</v>
      </c>
      <c r="Z14" s="10" t="s">
        <v>89</v>
      </c>
      <c r="AA14" s="10" t="s">
        <v>48</v>
      </c>
      <c r="AB14" s="10" t="s">
        <v>48</v>
      </c>
      <c r="AC14" s="10" t="s">
        <v>48</v>
      </c>
      <c r="AD14" s="10" t="s">
        <v>48</v>
      </c>
      <c r="AE14"/>
    </row>
    <row r="15" spans="1:31">
      <c r="A15" s="16">
        <v>11</v>
      </c>
      <c r="B15" s="22" t="s">
        <v>1071</v>
      </c>
      <c r="C15" s="6" t="s">
        <v>978</v>
      </c>
      <c r="D15" s="16">
        <v>40</v>
      </c>
      <c r="E15" s="16" t="s">
        <v>1072</v>
      </c>
      <c r="F15" s="10" t="s">
        <v>1073</v>
      </c>
      <c r="G15" s="10" t="s">
        <v>76</v>
      </c>
      <c r="H15" s="9" t="s">
        <v>51</v>
      </c>
      <c r="I15" s="10" t="s">
        <v>1074</v>
      </c>
      <c r="J15" s="15" t="s">
        <v>982</v>
      </c>
      <c r="K15" s="10" t="s">
        <v>983</v>
      </c>
      <c r="L15" s="10" t="s">
        <v>984</v>
      </c>
      <c r="M15" s="11">
        <v>43220</v>
      </c>
      <c r="N15" s="10" t="s">
        <v>119</v>
      </c>
      <c r="O15" s="38" t="s">
        <v>120</v>
      </c>
      <c r="P15" s="10" t="s">
        <v>56</v>
      </c>
      <c r="Q15" s="10" t="s">
        <v>121</v>
      </c>
      <c r="R15" s="10" t="s">
        <v>122</v>
      </c>
      <c r="S15" s="10" t="s">
        <v>1062</v>
      </c>
      <c r="T15" s="10" t="s">
        <v>123</v>
      </c>
      <c r="U15" s="10" t="s">
        <v>124</v>
      </c>
      <c r="V15" s="10" t="s">
        <v>1075</v>
      </c>
      <c r="W15" s="10" t="s">
        <v>62</v>
      </c>
      <c r="X15" s="10" t="s">
        <v>98</v>
      </c>
      <c r="Y15" s="10" t="s">
        <v>88</v>
      </c>
      <c r="Z15" s="10" t="s">
        <v>126</v>
      </c>
      <c r="AA15" s="10" t="s">
        <v>48</v>
      </c>
      <c r="AB15" s="10" t="s">
        <v>48</v>
      </c>
      <c r="AC15" s="10" t="s">
        <v>48</v>
      </c>
      <c r="AD15" s="10" t="s">
        <v>48</v>
      </c>
      <c r="AE15"/>
    </row>
    <row r="16" spans="1:31" s="2" customFormat="1">
      <c r="A16" s="16">
        <v>12</v>
      </c>
      <c r="B16" s="20" t="s">
        <v>1076</v>
      </c>
      <c r="C16" s="58"/>
      <c r="D16" s="70"/>
      <c r="E16" s="71" t="s">
        <v>1077</v>
      </c>
      <c r="F16" s="9" t="s">
        <v>1078</v>
      </c>
      <c r="G16" s="9" t="s">
        <v>76</v>
      </c>
      <c r="H16" s="9" t="s">
        <v>51</v>
      </c>
      <c r="I16" s="10" t="s">
        <v>1079</v>
      </c>
      <c r="J16" s="15" t="s">
        <v>982</v>
      </c>
      <c r="K16" s="9" t="s">
        <v>1080</v>
      </c>
      <c r="L16" s="9" t="s">
        <v>984</v>
      </c>
      <c r="M16" s="11">
        <v>2006</v>
      </c>
      <c r="N16" s="9" t="s">
        <v>1081</v>
      </c>
      <c r="O16" s="9" t="s">
        <v>1082</v>
      </c>
      <c r="P16" s="12" t="s">
        <v>56</v>
      </c>
      <c r="Q16" s="12" t="s">
        <v>1083</v>
      </c>
      <c r="R16" s="9" t="s">
        <v>1084</v>
      </c>
      <c r="S16" s="9" t="s">
        <v>1085</v>
      </c>
      <c r="T16" s="9" t="s">
        <v>1086</v>
      </c>
      <c r="U16" s="9" t="s">
        <v>1087</v>
      </c>
      <c r="V16" s="13" t="s">
        <v>1088</v>
      </c>
      <c r="W16" s="13" t="s">
        <v>1089</v>
      </c>
      <c r="X16" s="9" t="s">
        <v>1090</v>
      </c>
      <c r="Y16" s="9" t="s">
        <v>1091</v>
      </c>
      <c r="Z16" s="9" t="s">
        <v>1092</v>
      </c>
      <c r="AA16" s="9" t="s">
        <v>1093</v>
      </c>
      <c r="AB16" s="9" t="s">
        <v>1094</v>
      </c>
      <c r="AC16" s="9" t="s">
        <v>48</v>
      </c>
      <c r="AD16" s="9" t="s">
        <v>48</v>
      </c>
    </row>
    <row r="17" spans="1:31">
      <c r="A17" s="16">
        <v>13</v>
      </c>
      <c r="B17" s="6" t="s">
        <v>1095</v>
      </c>
      <c r="C17" s="6" t="s">
        <v>978</v>
      </c>
      <c r="D17" s="16">
        <v>26</v>
      </c>
      <c r="E17" s="16" t="s">
        <v>1096</v>
      </c>
      <c r="F17" s="9" t="s">
        <v>1097</v>
      </c>
      <c r="G17" s="9" t="s">
        <v>76</v>
      </c>
      <c r="H17" s="9" t="s">
        <v>51</v>
      </c>
      <c r="I17" s="10" t="s">
        <v>1098</v>
      </c>
      <c r="J17" s="15" t="s">
        <v>982</v>
      </c>
      <c r="K17" s="9" t="s">
        <v>1080</v>
      </c>
      <c r="L17" s="9" t="s">
        <v>984</v>
      </c>
      <c r="M17" s="11">
        <v>2013</v>
      </c>
      <c r="N17" s="9" t="s">
        <v>1099</v>
      </c>
      <c r="O17" s="10" t="s">
        <v>1100</v>
      </c>
      <c r="P17" s="12" t="s">
        <v>38</v>
      </c>
      <c r="Q17" s="12" t="s">
        <v>987</v>
      </c>
      <c r="R17" s="9" t="s">
        <v>1101</v>
      </c>
      <c r="S17" s="9" t="s">
        <v>1102</v>
      </c>
      <c r="T17" s="9" t="s">
        <v>990</v>
      </c>
      <c r="U17" s="9" t="s">
        <v>991</v>
      </c>
      <c r="V17" s="13" t="s">
        <v>1103</v>
      </c>
      <c r="W17" s="13" t="s">
        <v>44</v>
      </c>
      <c r="X17" s="9" t="s">
        <v>45</v>
      </c>
      <c r="Y17" s="9" t="s">
        <v>46</v>
      </c>
      <c r="Z17" s="9" t="s">
        <v>1104</v>
      </c>
      <c r="AA17" s="9" t="s">
        <v>48</v>
      </c>
      <c r="AB17" s="9" t="s">
        <v>48</v>
      </c>
      <c r="AC17" s="9" t="s">
        <v>48</v>
      </c>
      <c r="AD17" s="9" t="s">
        <v>48</v>
      </c>
      <c r="AE17"/>
    </row>
    <row r="18" spans="1:31">
      <c r="A18" s="16">
        <v>14</v>
      </c>
      <c r="B18" s="6" t="s">
        <v>1105</v>
      </c>
      <c r="C18" s="7"/>
      <c r="D18" s="8"/>
      <c r="E18" s="8"/>
      <c r="F18" s="9" t="s">
        <v>1106</v>
      </c>
      <c r="G18" s="9" t="s">
        <v>76</v>
      </c>
      <c r="H18" s="9" t="s">
        <v>51</v>
      </c>
      <c r="I18" s="10" t="s">
        <v>428</v>
      </c>
      <c r="J18" s="15" t="s">
        <v>982</v>
      </c>
      <c r="K18" s="9" t="s">
        <v>1080</v>
      </c>
      <c r="L18" s="9" t="s">
        <v>984</v>
      </c>
      <c r="M18" s="11">
        <v>2011</v>
      </c>
      <c r="N18" s="9" t="s">
        <v>1107</v>
      </c>
      <c r="O18" s="10" t="s">
        <v>1108</v>
      </c>
      <c r="P18" s="12" t="s">
        <v>38</v>
      </c>
      <c r="Q18" s="12" t="s">
        <v>1109</v>
      </c>
      <c r="R18" s="9" t="s">
        <v>1110</v>
      </c>
      <c r="S18" s="9" t="s">
        <v>1111</v>
      </c>
      <c r="T18" s="9" t="s">
        <v>1112</v>
      </c>
      <c r="U18" s="9" t="s">
        <v>1113</v>
      </c>
      <c r="V18" s="13" t="s">
        <v>1114</v>
      </c>
      <c r="W18" s="13" t="s">
        <v>1115</v>
      </c>
      <c r="X18" s="9" t="s">
        <v>993</v>
      </c>
      <c r="Y18" s="9" t="s">
        <v>1116</v>
      </c>
      <c r="Z18" s="9" t="s">
        <v>1117</v>
      </c>
      <c r="AA18" s="9" t="s">
        <v>48</v>
      </c>
      <c r="AB18" s="9" t="s">
        <v>48</v>
      </c>
      <c r="AC18" s="9" t="s">
        <v>48</v>
      </c>
      <c r="AD18" s="9" t="s">
        <v>48</v>
      </c>
      <c r="AE18"/>
    </row>
    <row r="19" spans="1:31">
      <c r="A19" s="16">
        <v>15</v>
      </c>
      <c r="B19" s="6" t="s">
        <v>1118</v>
      </c>
      <c r="C19" s="7"/>
      <c r="D19" s="8"/>
      <c r="E19" s="8"/>
      <c r="F19" s="9" t="s">
        <v>1119</v>
      </c>
      <c r="G19" s="9" t="s">
        <v>76</v>
      </c>
      <c r="H19" s="9" t="s">
        <v>51</v>
      </c>
      <c r="I19" s="10" t="s">
        <v>1120</v>
      </c>
      <c r="J19" s="15" t="s">
        <v>982</v>
      </c>
      <c r="K19" s="9" t="s">
        <v>1080</v>
      </c>
      <c r="L19" s="9" t="s">
        <v>984</v>
      </c>
      <c r="M19" s="11">
        <v>42705</v>
      </c>
      <c r="N19" s="9" t="s">
        <v>1121</v>
      </c>
      <c r="O19" s="10" t="s">
        <v>1122</v>
      </c>
      <c r="P19" s="12" t="s">
        <v>56</v>
      </c>
      <c r="Q19" s="12" t="s">
        <v>57</v>
      </c>
      <c r="R19" s="9" t="s">
        <v>1123</v>
      </c>
      <c r="S19" s="9" t="s">
        <v>1003</v>
      </c>
      <c r="T19" s="9" t="s">
        <v>1124</v>
      </c>
      <c r="U19" s="9" t="s">
        <v>61</v>
      </c>
      <c r="V19" s="32" t="s">
        <v>1025</v>
      </c>
      <c r="W19" s="32" t="s">
        <v>62</v>
      </c>
      <c r="X19" s="9" t="s">
        <v>45</v>
      </c>
      <c r="Y19" s="9" t="s">
        <v>88</v>
      </c>
      <c r="Z19" s="9" t="s">
        <v>1125</v>
      </c>
      <c r="AA19" s="9" t="s">
        <v>48</v>
      </c>
      <c r="AB19" s="9" t="s">
        <v>48</v>
      </c>
      <c r="AC19" s="9" t="s">
        <v>48</v>
      </c>
      <c r="AD19" s="9" t="s">
        <v>48</v>
      </c>
      <c r="AE19"/>
    </row>
    <row r="20" spans="1:31">
      <c r="A20" s="16">
        <v>16</v>
      </c>
      <c r="B20" s="6" t="s">
        <v>1126</v>
      </c>
      <c r="C20" s="27" t="s">
        <v>1127</v>
      </c>
      <c r="D20" s="28" t="s">
        <v>1128</v>
      </c>
      <c r="E20" s="8" t="s">
        <v>1129</v>
      </c>
      <c r="F20" s="9" t="s">
        <v>1130</v>
      </c>
      <c r="G20" s="9" t="s">
        <v>76</v>
      </c>
      <c r="H20" s="9" t="s">
        <v>51</v>
      </c>
      <c r="I20" s="10" t="s">
        <v>1131</v>
      </c>
      <c r="J20" s="15" t="s">
        <v>34</v>
      </c>
      <c r="K20" s="9" t="s">
        <v>1132</v>
      </c>
      <c r="L20" s="9" t="s">
        <v>1133</v>
      </c>
      <c r="M20" s="11">
        <v>2006</v>
      </c>
      <c r="N20" s="9" t="s">
        <v>1134</v>
      </c>
      <c r="O20" s="29" t="s">
        <v>1135</v>
      </c>
      <c r="P20" s="12" t="s">
        <v>56</v>
      </c>
      <c r="Q20" s="12" t="s">
        <v>1083</v>
      </c>
      <c r="R20" s="9" t="s">
        <v>1136</v>
      </c>
      <c r="S20" s="9" t="s">
        <v>1085</v>
      </c>
      <c r="T20" s="9" t="s">
        <v>1137</v>
      </c>
      <c r="U20" s="9" t="s">
        <v>1087</v>
      </c>
      <c r="V20" s="13" t="s">
        <v>1114</v>
      </c>
      <c r="W20" s="13" t="s">
        <v>1138</v>
      </c>
      <c r="X20" s="9" t="s">
        <v>1089</v>
      </c>
      <c r="Y20" s="9" t="s">
        <v>1139</v>
      </c>
      <c r="Z20" s="9" t="s">
        <v>1140</v>
      </c>
      <c r="AA20" s="9" t="s">
        <v>48</v>
      </c>
      <c r="AB20" s="9" t="s">
        <v>48</v>
      </c>
      <c r="AC20" s="9" t="s">
        <v>48</v>
      </c>
      <c r="AD20" s="9" t="s">
        <v>48</v>
      </c>
      <c r="AE20"/>
    </row>
    <row r="21" spans="1:31">
      <c r="A21" s="16">
        <v>17</v>
      </c>
      <c r="B21" s="6" t="s">
        <v>1141</v>
      </c>
      <c r="C21" s="7"/>
      <c r="D21" s="8"/>
      <c r="E21" s="8"/>
      <c r="F21" s="9" t="s">
        <v>1142</v>
      </c>
      <c r="G21" s="9" t="s">
        <v>76</v>
      </c>
      <c r="H21" s="9" t="s">
        <v>51</v>
      </c>
      <c r="I21" s="10" t="s">
        <v>1143</v>
      </c>
      <c r="J21" s="15" t="s">
        <v>34</v>
      </c>
      <c r="K21" s="9" t="s">
        <v>1132</v>
      </c>
      <c r="L21" s="9" t="s">
        <v>1133</v>
      </c>
      <c r="M21" s="11">
        <v>2008</v>
      </c>
      <c r="N21" s="9" t="s">
        <v>1144</v>
      </c>
      <c r="O21" s="9" t="s">
        <v>1145</v>
      </c>
      <c r="P21" s="12" t="s">
        <v>38</v>
      </c>
      <c r="Q21" s="12" t="s">
        <v>1146</v>
      </c>
      <c r="R21" s="9" t="s">
        <v>1147</v>
      </c>
      <c r="S21" s="9" t="s">
        <v>1085</v>
      </c>
      <c r="T21" s="9" t="s">
        <v>1148</v>
      </c>
      <c r="U21" s="9" t="s">
        <v>1149</v>
      </c>
      <c r="V21" s="13" t="s">
        <v>1150</v>
      </c>
      <c r="W21" s="13" t="s">
        <v>1138</v>
      </c>
      <c r="X21" s="9" t="s">
        <v>1151</v>
      </c>
      <c r="Y21" s="9" t="s">
        <v>1152</v>
      </c>
      <c r="Z21" s="9" t="s">
        <v>1153</v>
      </c>
      <c r="AA21" s="9" t="s">
        <v>48</v>
      </c>
      <c r="AB21" s="9" t="s">
        <v>48</v>
      </c>
      <c r="AC21" s="9" t="s">
        <v>48</v>
      </c>
      <c r="AD21" s="9" t="s">
        <v>48</v>
      </c>
      <c r="AE21"/>
    </row>
    <row r="22" spans="1:31">
      <c r="A22" s="16">
        <v>18</v>
      </c>
      <c r="B22" s="6" t="s">
        <v>1154</v>
      </c>
      <c r="C22" s="7"/>
      <c r="D22" s="8"/>
      <c r="E22" s="8"/>
      <c r="F22" s="9" t="s">
        <v>1155</v>
      </c>
      <c r="G22" s="9" t="s">
        <v>76</v>
      </c>
      <c r="H22" s="9" t="s">
        <v>51</v>
      </c>
      <c r="I22" s="10" t="s">
        <v>1156</v>
      </c>
      <c r="J22" s="15" t="s">
        <v>982</v>
      </c>
      <c r="K22" s="9" t="s">
        <v>1132</v>
      </c>
      <c r="L22" s="9" t="s">
        <v>984</v>
      </c>
      <c r="M22" s="11">
        <v>2009</v>
      </c>
      <c r="N22" s="9" t="s">
        <v>1157</v>
      </c>
      <c r="O22" s="9"/>
      <c r="P22" s="12" t="s">
        <v>38</v>
      </c>
      <c r="Q22" s="12" t="s">
        <v>1158</v>
      </c>
      <c r="R22" s="9" t="s">
        <v>1159</v>
      </c>
      <c r="S22" s="9" t="s">
        <v>1085</v>
      </c>
      <c r="T22" s="9" t="s">
        <v>1160</v>
      </c>
      <c r="U22" s="9" t="s">
        <v>1161</v>
      </c>
      <c r="V22" s="13" t="s">
        <v>1162</v>
      </c>
      <c r="W22" s="13" t="s">
        <v>1138</v>
      </c>
      <c r="X22" s="9" t="s">
        <v>1163</v>
      </c>
      <c r="Y22" s="9" t="s">
        <v>1152</v>
      </c>
      <c r="Z22" s="9" t="s">
        <v>1164</v>
      </c>
      <c r="AA22" s="9" t="s">
        <v>1165</v>
      </c>
      <c r="AB22" s="9" t="s">
        <v>1166</v>
      </c>
      <c r="AC22" s="9" t="s">
        <v>48</v>
      </c>
      <c r="AD22" s="9" t="s">
        <v>48</v>
      </c>
      <c r="AE22"/>
    </row>
    <row r="23" spans="1:31">
      <c r="A23" s="16">
        <v>19</v>
      </c>
      <c r="B23" s="6" t="s">
        <v>1167</v>
      </c>
      <c r="C23" s="7"/>
      <c r="D23" s="8"/>
      <c r="E23" s="8"/>
      <c r="F23" s="9" t="s">
        <v>1168</v>
      </c>
      <c r="G23" s="9" t="s">
        <v>76</v>
      </c>
      <c r="H23" s="9" t="s">
        <v>32</v>
      </c>
      <c r="I23" s="10" t="s">
        <v>1169</v>
      </c>
      <c r="J23" s="15" t="s">
        <v>982</v>
      </c>
      <c r="K23" s="9" t="s">
        <v>1170</v>
      </c>
      <c r="L23" s="9" t="s">
        <v>984</v>
      </c>
      <c r="M23" s="11">
        <v>2010</v>
      </c>
      <c r="N23" s="9" t="s">
        <v>1171</v>
      </c>
      <c r="O23" s="9" t="s">
        <v>1172</v>
      </c>
      <c r="P23" s="12" t="s">
        <v>38</v>
      </c>
      <c r="Q23" s="12" t="s">
        <v>1173</v>
      </c>
      <c r="R23" s="9" t="s">
        <v>1174</v>
      </c>
      <c r="S23" s="9" t="s">
        <v>1085</v>
      </c>
      <c r="T23" s="9" t="s">
        <v>1175</v>
      </c>
      <c r="U23" s="9" t="s">
        <v>1176</v>
      </c>
      <c r="V23" s="13" t="s">
        <v>1177</v>
      </c>
      <c r="W23" s="13" t="s">
        <v>44</v>
      </c>
      <c r="X23" s="9" t="s">
        <v>993</v>
      </c>
      <c r="Y23" s="9" t="s">
        <v>1152</v>
      </c>
      <c r="Z23" s="9" t="s">
        <v>1178</v>
      </c>
      <c r="AA23" s="9" t="s">
        <v>48</v>
      </c>
      <c r="AB23" s="9" t="s">
        <v>48</v>
      </c>
      <c r="AC23" s="9" t="s">
        <v>48</v>
      </c>
      <c r="AD23" s="9" t="s">
        <v>48</v>
      </c>
      <c r="AE23"/>
    </row>
    <row r="24" spans="1:31">
      <c r="A24" s="16">
        <v>20</v>
      </c>
      <c r="B24" s="58" t="s">
        <v>1179</v>
      </c>
      <c r="C24" s="7"/>
      <c r="D24" s="8"/>
      <c r="E24" s="8"/>
      <c r="F24" s="9" t="s">
        <v>1180</v>
      </c>
      <c r="G24" s="9" t="s">
        <v>1181</v>
      </c>
      <c r="H24" s="9" t="s">
        <v>51</v>
      </c>
      <c r="I24" s="10" t="s">
        <v>1182</v>
      </c>
      <c r="J24" s="15" t="s">
        <v>34</v>
      </c>
      <c r="K24" s="9" t="s">
        <v>73</v>
      </c>
      <c r="L24" s="9" t="s">
        <v>1183</v>
      </c>
      <c r="M24" s="12">
        <v>2009</v>
      </c>
      <c r="N24" s="9"/>
      <c r="O24" s="9"/>
      <c r="P24" s="12" t="s">
        <v>38</v>
      </c>
      <c r="Q24" s="12" t="s">
        <v>1158</v>
      </c>
      <c r="R24" s="9" t="s">
        <v>1184</v>
      </c>
      <c r="S24" s="9" t="s">
        <v>1085</v>
      </c>
      <c r="T24" s="9" t="s">
        <v>1185</v>
      </c>
      <c r="U24" s="9" t="s">
        <v>1186</v>
      </c>
      <c r="V24" s="13" t="s">
        <v>1187</v>
      </c>
      <c r="W24" s="13" t="s">
        <v>1138</v>
      </c>
      <c r="X24" s="9" t="s">
        <v>1188</v>
      </c>
      <c r="Y24" s="9" t="s">
        <v>1152</v>
      </c>
      <c r="Z24" s="9" t="s">
        <v>1189</v>
      </c>
      <c r="AA24" s="9" t="s">
        <v>48</v>
      </c>
      <c r="AB24" s="9" t="s">
        <v>48</v>
      </c>
      <c r="AC24" s="9" t="s">
        <v>48</v>
      </c>
      <c r="AD24" s="9" t="s">
        <v>48</v>
      </c>
      <c r="AE24"/>
    </row>
    <row r="25" spans="1:31">
      <c r="A25" s="16">
        <v>21</v>
      </c>
      <c r="B25" s="6" t="s">
        <v>1190</v>
      </c>
      <c r="C25" s="7"/>
      <c r="D25" s="8"/>
      <c r="E25" s="8"/>
      <c r="F25" s="9" t="s">
        <v>1191</v>
      </c>
      <c r="G25" s="9" t="s">
        <v>76</v>
      </c>
      <c r="H25" s="9" t="s">
        <v>51</v>
      </c>
      <c r="I25" s="10" t="s">
        <v>1192</v>
      </c>
      <c r="J25" s="15" t="s">
        <v>982</v>
      </c>
      <c r="K25" s="9" t="s">
        <v>73</v>
      </c>
      <c r="L25" s="9" t="s">
        <v>1193</v>
      </c>
      <c r="M25" s="11">
        <v>2009</v>
      </c>
      <c r="N25" s="10"/>
      <c r="O25" s="9"/>
      <c r="P25" s="12" t="s">
        <v>38</v>
      </c>
      <c r="Q25" s="12" t="s">
        <v>1194</v>
      </c>
      <c r="R25" s="9" t="s">
        <v>1195</v>
      </c>
      <c r="S25" s="9" t="s">
        <v>1085</v>
      </c>
      <c r="T25" s="9" t="s">
        <v>1196</v>
      </c>
      <c r="U25" s="9" t="s">
        <v>1161</v>
      </c>
      <c r="V25" s="13" t="s">
        <v>1162</v>
      </c>
      <c r="W25" s="13" t="s">
        <v>1138</v>
      </c>
      <c r="X25" s="9" t="s">
        <v>1163</v>
      </c>
      <c r="Y25" s="9" t="s">
        <v>1152</v>
      </c>
      <c r="Z25" s="9" t="s">
        <v>1197</v>
      </c>
      <c r="AA25" s="9" t="s">
        <v>48</v>
      </c>
      <c r="AB25" s="9" t="s">
        <v>48</v>
      </c>
      <c r="AC25" s="9" t="s">
        <v>48</v>
      </c>
      <c r="AD25" s="9" t="s">
        <v>48</v>
      </c>
      <c r="AE25"/>
    </row>
    <row r="26" spans="1:31">
      <c r="A26" s="16">
        <v>22</v>
      </c>
      <c r="B26" s="22" t="s">
        <v>1198</v>
      </c>
      <c r="C26" s="20"/>
      <c r="D26" s="16"/>
      <c r="E26" s="16"/>
      <c r="F26" s="10" t="s">
        <v>1199</v>
      </c>
      <c r="G26" s="10" t="s">
        <v>76</v>
      </c>
      <c r="H26" s="9" t="s">
        <v>51</v>
      </c>
      <c r="I26" s="10" t="s">
        <v>1200</v>
      </c>
      <c r="J26" s="15" t="s">
        <v>982</v>
      </c>
      <c r="K26" s="10" t="s">
        <v>73</v>
      </c>
      <c r="L26" s="10" t="s">
        <v>1193</v>
      </c>
      <c r="M26" s="11">
        <v>43220</v>
      </c>
      <c r="N26" s="10" t="s">
        <v>1201</v>
      </c>
      <c r="O26" s="10" t="s">
        <v>1202</v>
      </c>
      <c r="P26" s="10" t="s">
        <v>56</v>
      </c>
      <c r="Q26" s="10" t="s">
        <v>121</v>
      </c>
      <c r="R26" s="10" t="s">
        <v>1203</v>
      </c>
      <c r="S26" s="10" t="s">
        <v>1062</v>
      </c>
      <c r="T26" s="10" t="s">
        <v>1204</v>
      </c>
      <c r="U26" s="10" t="s">
        <v>124</v>
      </c>
      <c r="V26" s="10" t="s">
        <v>1075</v>
      </c>
      <c r="W26" s="10" t="s">
        <v>62</v>
      </c>
      <c r="X26" s="10" t="s">
        <v>98</v>
      </c>
      <c r="Y26" s="10" t="s">
        <v>88</v>
      </c>
      <c r="Z26" s="10" t="s">
        <v>1205</v>
      </c>
      <c r="AA26" s="10" t="s">
        <v>48</v>
      </c>
      <c r="AB26" s="10" t="s">
        <v>48</v>
      </c>
      <c r="AC26" s="10" t="s">
        <v>48</v>
      </c>
      <c r="AD26" s="10" t="s">
        <v>48</v>
      </c>
      <c r="AE26"/>
    </row>
    <row r="27" spans="1:31">
      <c r="A27" s="16">
        <v>23</v>
      </c>
      <c r="B27" s="6" t="s">
        <v>1206</v>
      </c>
      <c r="C27" s="20"/>
      <c r="D27" s="16"/>
      <c r="E27" s="16"/>
      <c r="F27" s="9" t="s">
        <v>1207</v>
      </c>
      <c r="G27" s="9" t="s">
        <v>76</v>
      </c>
      <c r="H27" s="9" t="s">
        <v>51</v>
      </c>
      <c r="I27" s="10" t="s">
        <v>1208</v>
      </c>
      <c r="J27" s="15" t="s">
        <v>982</v>
      </c>
      <c r="K27" s="9" t="s">
        <v>1209</v>
      </c>
      <c r="L27" s="9" t="s">
        <v>1210</v>
      </c>
      <c r="M27" s="11">
        <v>2013</v>
      </c>
      <c r="N27" s="9" t="s">
        <v>1211</v>
      </c>
      <c r="O27" s="10" t="s">
        <v>1212</v>
      </c>
      <c r="P27" s="12" t="s">
        <v>38</v>
      </c>
      <c r="Q27" s="12" t="s">
        <v>987</v>
      </c>
      <c r="R27" s="9" t="s">
        <v>1213</v>
      </c>
      <c r="S27" s="9" t="s">
        <v>989</v>
      </c>
      <c r="T27" s="9" t="s">
        <v>1214</v>
      </c>
      <c r="U27" s="9" t="s">
        <v>991</v>
      </c>
      <c r="V27" s="13" t="s">
        <v>1103</v>
      </c>
      <c r="W27" s="13" t="s">
        <v>44</v>
      </c>
      <c r="X27" s="9" t="s">
        <v>45</v>
      </c>
      <c r="Y27" s="9" t="s">
        <v>46</v>
      </c>
      <c r="Z27" s="9" t="s">
        <v>1215</v>
      </c>
      <c r="AA27" s="9" t="s">
        <v>48</v>
      </c>
      <c r="AB27" s="9" t="s">
        <v>48</v>
      </c>
      <c r="AC27" s="9" t="s">
        <v>48</v>
      </c>
      <c r="AD27" s="9" t="s">
        <v>48</v>
      </c>
      <c r="AE27"/>
    </row>
    <row r="28" spans="1:31">
      <c r="A28" s="16">
        <v>24</v>
      </c>
      <c r="B28" s="22" t="s">
        <v>1216</v>
      </c>
      <c r="C28" s="6"/>
      <c r="D28" s="16"/>
      <c r="E28" s="16"/>
      <c r="F28" t="s">
        <v>1217</v>
      </c>
      <c r="G28" s="10" t="s">
        <v>76</v>
      </c>
      <c r="H28" s="10" t="s">
        <v>32</v>
      </c>
      <c r="I28" s="10" t="s">
        <v>1218</v>
      </c>
      <c r="J28" s="15" t="s">
        <v>982</v>
      </c>
      <c r="K28" s="2" t="s">
        <v>1209</v>
      </c>
      <c r="L28" s="10" t="s">
        <v>1210</v>
      </c>
      <c r="M28" s="11">
        <v>43289</v>
      </c>
      <c r="N28" s="10" t="s">
        <v>1219</v>
      </c>
      <c r="O28" s="10" t="s">
        <v>1220</v>
      </c>
      <c r="P28" s="10" t="s">
        <v>56</v>
      </c>
      <c r="Q28" s="10" t="s">
        <v>146</v>
      </c>
      <c r="R28" s="10" t="s">
        <v>157</v>
      </c>
      <c r="S28" s="10" t="s">
        <v>1062</v>
      </c>
      <c r="T28" s="10" t="s">
        <v>158</v>
      </c>
      <c r="U28" s="10" t="s">
        <v>106</v>
      </c>
      <c r="V28" s="10" t="s">
        <v>1221</v>
      </c>
      <c r="W28" s="10" t="s">
        <v>149</v>
      </c>
      <c r="X28" s="10" t="s">
        <v>98</v>
      </c>
      <c r="Y28" s="10" t="s">
        <v>88</v>
      </c>
      <c r="Z28" s="10" t="s">
        <v>159</v>
      </c>
      <c r="AA28" s="10" t="s">
        <v>364</v>
      </c>
      <c r="AB28" s="10" t="s">
        <v>364</v>
      </c>
      <c r="AC28" s="10" t="s">
        <v>364</v>
      </c>
      <c r="AD28" s="10" t="s">
        <v>364</v>
      </c>
      <c r="AE28"/>
    </row>
    <row r="29" spans="1:31">
      <c r="A29" s="16">
        <v>25</v>
      </c>
      <c r="B29" s="5" t="s">
        <v>1222</v>
      </c>
      <c r="F29" s="2" t="s">
        <v>1223</v>
      </c>
      <c r="G29" s="2" t="s">
        <v>76</v>
      </c>
      <c r="H29" s="9" t="s">
        <v>51</v>
      </c>
      <c r="I29" s="2" t="s">
        <v>1224</v>
      </c>
      <c r="J29" s="14" t="s">
        <v>982</v>
      </c>
      <c r="K29" s="2" t="s">
        <v>1209</v>
      </c>
      <c r="L29" s="2" t="s">
        <v>1210</v>
      </c>
      <c r="M29" s="3">
        <v>43474</v>
      </c>
      <c r="N29" s="2" t="s">
        <v>167</v>
      </c>
      <c r="O29" s="2" t="s">
        <v>168</v>
      </c>
      <c r="P29" s="2" t="s">
        <v>352</v>
      </c>
      <c r="Q29" s="2" t="s">
        <v>169</v>
      </c>
      <c r="R29" s="2" t="s">
        <v>170</v>
      </c>
      <c r="S29" s="10" t="s">
        <v>1062</v>
      </c>
      <c r="T29" s="2" t="s">
        <v>171</v>
      </c>
      <c r="U29" s="2" t="s">
        <v>172</v>
      </c>
      <c r="W29" s="2" t="s">
        <v>62</v>
      </c>
      <c r="X29" s="2" t="s">
        <v>98</v>
      </c>
      <c r="Y29" s="10" t="s">
        <v>88</v>
      </c>
      <c r="Z29" s="2" t="s">
        <v>173</v>
      </c>
      <c r="AA29" s="10" t="s">
        <v>364</v>
      </c>
      <c r="AB29" s="10" t="s">
        <v>364</v>
      </c>
      <c r="AC29" s="10" t="s">
        <v>364</v>
      </c>
      <c r="AD29" s="10" t="s">
        <v>364</v>
      </c>
      <c r="AE29"/>
    </row>
    <row r="30" spans="1:31">
      <c r="A30" s="16">
        <v>26</v>
      </c>
      <c r="B30" s="6" t="s">
        <v>1225</v>
      </c>
      <c r="C30" s="6" t="s">
        <v>1226</v>
      </c>
      <c r="D30" s="16">
        <v>30</v>
      </c>
      <c r="E30" s="16" t="s">
        <v>1227</v>
      </c>
      <c r="F30" s="9" t="s">
        <v>1228</v>
      </c>
      <c r="G30" s="9" t="s">
        <v>76</v>
      </c>
      <c r="H30" s="9" t="s">
        <v>51</v>
      </c>
      <c r="I30" s="10" t="s">
        <v>1229</v>
      </c>
      <c r="J30" s="15" t="s">
        <v>982</v>
      </c>
      <c r="K30" s="9" t="s">
        <v>1230</v>
      </c>
      <c r="L30" s="9" t="s">
        <v>1231</v>
      </c>
      <c r="M30" s="11">
        <v>2011</v>
      </c>
      <c r="N30" s="9" t="s">
        <v>1232</v>
      </c>
      <c r="O30" s="10" t="s">
        <v>1233</v>
      </c>
      <c r="P30" s="12" t="s">
        <v>38</v>
      </c>
      <c r="Q30" s="12" t="s">
        <v>1234</v>
      </c>
      <c r="R30" s="9" t="s">
        <v>1235</v>
      </c>
      <c r="S30" s="9" t="s">
        <v>1085</v>
      </c>
      <c r="T30" s="9" t="s">
        <v>1236</v>
      </c>
      <c r="U30" s="9" t="s">
        <v>1113</v>
      </c>
      <c r="V30" s="13" t="s">
        <v>1237</v>
      </c>
      <c r="W30" s="13" t="s">
        <v>1238</v>
      </c>
      <c r="X30" s="9" t="s">
        <v>45</v>
      </c>
      <c r="Y30" s="9" t="s">
        <v>1116</v>
      </c>
      <c r="Z30" s="9" t="s">
        <v>1239</v>
      </c>
      <c r="AA30" s="9" t="s">
        <v>48</v>
      </c>
      <c r="AB30" s="9" t="s">
        <v>48</v>
      </c>
      <c r="AC30" s="9" t="s">
        <v>48</v>
      </c>
      <c r="AD30" s="9" t="s">
        <v>48</v>
      </c>
      <c r="AE30"/>
    </row>
    <row r="31" spans="1:31">
      <c r="A31" s="16">
        <v>27</v>
      </c>
      <c r="B31" s="6" t="s">
        <v>1240</v>
      </c>
      <c r="C31" s="7"/>
      <c r="D31" s="8"/>
      <c r="E31" s="8"/>
      <c r="F31" s="9" t="s">
        <v>1241</v>
      </c>
      <c r="G31" s="9" t="s">
        <v>76</v>
      </c>
      <c r="H31" s="9" t="s">
        <v>32</v>
      </c>
      <c r="I31" s="10" t="s">
        <v>1242</v>
      </c>
      <c r="J31" s="15" t="s">
        <v>1243</v>
      </c>
      <c r="K31" s="9" t="s">
        <v>1230</v>
      </c>
      <c r="L31" s="9" t="s">
        <v>1231</v>
      </c>
      <c r="M31" s="11">
        <v>2012</v>
      </c>
      <c r="N31" s="9" t="s">
        <v>1244</v>
      </c>
      <c r="O31" s="10" t="s">
        <v>1245</v>
      </c>
      <c r="P31" s="12" t="s">
        <v>38</v>
      </c>
      <c r="Q31" s="12" t="s">
        <v>1246</v>
      </c>
      <c r="R31" s="9" t="s">
        <v>1247</v>
      </c>
      <c r="S31" s="9" t="s">
        <v>1085</v>
      </c>
      <c r="T31" s="9" t="s">
        <v>1248</v>
      </c>
      <c r="U31" s="9" t="s">
        <v>1249</v>
      </c>
      <c r="V31" s="13" t="s">
        <v>1250</v>
      </c>
      <c r="W31" s="13" t="s">
        <v>44</v>
      </c>
      <c r="X31" s="9" t="s">
        <v>45</v>
      </c>
      <c r="Y31" s="9" t="s">
        <v>1251</v>
      </c>
      <c r="Z31" s="9" t="s">
        <v>1252</v>
      </c>
      <c r="AA31" s="9" t="s">
        <v>48</v>
      </c>
      <c r="AB31" s="9" t="s">
        <v>48</v>
      </c>
      <c r="AC31" s="9" t="s">
        <v>48</v>
      </c>
      <c r="AD31" s="9" t="s">
        <v>48</v>
      </c>
      <c r="AE31"/>
    </row>
    <row r="32" spans="1:31">
      <c r="A32" s="16">
        <v>28</v>
      </c>
      <c r="B32" s="6" t="s">
        <v>1253</v>
      </c>
      <c r="C32" s="6" t="s">
        <v>1226</v>
      </c>
      <c r="D32" s="16">
        <v>30</v>
      </c>
      <c r="E32" s="16" t="s">
        <v>1227</v>
      </c>
      <c r="F32" s="9" t="s">
        <v>1254</v>
      </c>
      <c r="G32" s="9" t="s">
        <v>76</v>
      </c>
      <c r="H32" s="9" t="s">
        <v>51</v>
      </c>
      <c r="I32" s="10" t="s">
        <v>1242</v>
      </c>
      <c r="J32" s="15" t="s">
        <v>982</v>
      </c>
      <c r="K32" s="9" t="s">
        <v>1230</v>
      </c>
      <c r="L32" s="9" t="s">
        <v>1231</v>
      </c>
      <c r="M32" s="11">
        <v>2013</v>
      </c>
      <c r="N32" s="9" t="s">
        <v>1255</v>
      </c>
      <c r="O32" s="9" t="s">
        <v>1256</v>
      </c>
      <c r="P32" s="12" t="s">
        <v>38</v>
      </c>
      <c r="Q32" s="12" t="s">
        <v>987</v>
      </c>
      <c r="R32" s="9" t="s">
        <v>1257</v>
      </c>
      <c r="S32" s="9" t="s">
        <v>989</v>
      </c>
      <c r="T32" s="9" t="s">
        <v>990</v>
      </c>
      <c r="U32" s="9" t="s">
        <v>991</v>
      </c>
      <c r="V32" s="13" t="s">
        <v>992</v>
      </c>
      <c r="W32" s="13" t="s">
        <v>44</v>
      </c>
      <c r="X32" s="9" t="s">
        <v>993</v>
      </c>
      <c r="Y32" s="9" t="s">
        <v>1251</v>
      </c>
      <c r="Z32" s="9" t="s">
        <v>1258</v>
      </c>
      <c r="AA32" s="9" t="s">
        <v>48</v>
      </c>
      <c r="AB32" s="9" t="s">
        <v>48</v>
      </c>
      <c r="AC32" s="9" t="s">
        <v>48</v>
      </c>
      <c r="AD32" s="9" t="s">
        <v>48</v>
      </c>
      <c r="AE32"/>
    </row>
    <row r="33" spans="1:31">
      <c r="A33" s="16">
        <v>29</v>
      </c>
      <c r="B33" s="6" t="s">
        <v>1259</v>
      </c>
      <c r="C33" s="7"/>
      <c r="D33" s="8"/>
      <c r="E33" s="8"/>
      <c r="F33" s="9" t="s">
        <v>1260</v>
      </c>
      <c r="G33" s="9" t="s">
        <v>76</v>
      </c>
      <c r="H33" s="9" t="s">
        <v>51</v>
      </c>
      <c r="I33" s="10" t="s">
        <v>1261</v>
      </c>
      <c r="J33" s="15" t="s">
        <v>982</v>
      </c>
      <c r="K33" s="9" t="s">
        <v>1230</v>
      </c>
      <c r="L33" s="9" t="s">
        <v>1231</v>
      </c>
      <c r="M33" s="11">
        <v>2010</v>
      </c>
      <c r="N33" s="9" t="s">
        <v>1262</v>
      </c>
      <c r="O33" s="9" t="s">
        <v>1263</v>
      </c>
      <c r="P33" s="12" t="s">
        <v>1001</v>
      </c>
      <c r="Q33" s="12" t="s">
        <v>1109</v>
      </c>
      <c r="R33" s="9" t="s">
        <v>1264</v>
      </c>
      <c r="S33" s="9" t="s">
        <v>1111</v>
      </c>
      <c r="T33" s="9" t="s">
        <v>1265</v>
      </c>
      <c r="U33" s="9" t="s">
        <v>1161</v>
      </c>
      <c r="V33" s="13" t="s">
        <v>1266</v>
      </c>
      <c r="W33" s="13" t="s">
        <v>1115</v>
      </c>
      <c r="X33" s="9" t="s">
        <v>1267</v>
      </c>
      <c r="Y33" s="9" t="s">
        <v>1116</v>
      </c>
      <c r="Z33" s="9" t="s">
        <v>1268</v>
      </c>
      <c r="AA33" s="9" t="s">
        <v>48</v>
      </c>
      <c r="AB33" s="9" t="s">
        <v>48</v>
      </c>
      <c r="AC33" s="9" t="s">
        <v>48</v>
      </c>
      <c r="AD33" s="9" t="s">
        <v>48</v>
      </c>
      <c r="AE33"/>
    </row>
    <row r="34" spans="1:31">
      <c r="A34" s="16">
        <v>30</v>
      </c>
      <c r="B34" s="6" t="s">
        <v>1269</v>
      </c>
      <c r="C34" s="6" t="s">
        <v>978</v>
      </c>
      <c r="D34" s="16">
        <v>8</v>
      </c>
      <c r="E34" s="16" t="s">
        <v>1270</v>
      </c>
      <c r="F34" s="9" t="s">
        <v>1271</v>
      </c>
      <c r="G34" s="9" t="s">
        <v>76</v>
      </c>
      <c r="H34" s="9" t="s">
        <v>51</v>
      </c>
      <c r="I34" s="10" t="s">
        <v>1272</v>
      </c>
      <c r="J34" s="15" t="s">
        <v>982</v>
      </c>
      <c r="K34" s="9" t="s">
        <v>1230</v>
      </c>
      <c r="L34" s="9" t="s">
        <v>1231</v>
      </c>
      <c r="M34" s="11">
        <v>2010</v>
      </c>
      <c r="N34" s="9" t="s">
        <v>1273</v>
      </c>
      <c r="O34" s="10" t="s">
        <v>1274</v>
      </c>
      <c r="P34" s="12" t="s">
        <v>38</v>
      </c>
      <c r="Q34" s="12" t="s">
        <v>1109</v>
      </c>
      <c r="R34" s="9" t="s">
        <v>1275</v>
      </c>
      <c r="S34" s="9" t="s">
        <v>1085</v>
      </c>
      <c r="T34" s="9" t="s">
        <v>1276</v>
      </c>
      <c r="U34" s="9" t="s">
        <v>1161</v>
      </c>
      <c r="V34" s="13" t="s">
        <v>1114</v>
      </c>
      <c r="W34" s="13" t="s">
        <v>1277</v>
      </c>
      <c r="X34" s="9" t="s">
        <v>993</v>
      </c>
      <c r="Y34" s="9" t="s">
        <v>1116</v>
      </c>
      <c r="Z34" s="9" t="s">
        <v>1278</v>
      </c>
      <c r="AA34" s="9" t="s">
        <v>48</v>
      </c>
      <c r="AB34" s="9" t="s">
        <v>48</v>
      </c>
      <c r="AC34" s="9" t="s">
        <v>48</v>
      </c>
      <c r="AD34" s="9" t="s">
        <v>48</v>
      </c>
      <c r="AE34"/>
    </row>
    <row r="35" spans="1:31">
      <c r="A35" s="16">
        <v>31</v>
      </c>
      <c r="B35" s="6" t="s">
        <v>1279</v>
      </c>
      <c r="C35" s="6" t="s">
        <v>978</v>
      </c>
      <c r="D35" s="16">
        <v>10</v>
      </c>
      <c r="E35" s="8" t="s">
        <v>1018</v>
      </c>
      <c r="F35" s="9" t="s">
        <v>1280</v>
      </c>
      <c r="G35" s="9" t="s">
        <v>76</v>
      </c>
      <c r="H35" s="9" t="s">
        <v>51</v>
      </c>
      <c r="I35" s="10" t="s">
        <v>1281</v>
      </c>
      <c r="J35" s="15" t="s">
        <v>982</v>
      </c>
      <c r="K35" s="9" t="s">
        <v>1230</v>
      </c>
      <c r="L35" s="9" t="s">
        <v>1282</v>
      </c>
      <c r="M35" s="11">
        <v>2011</v>
      </c>
      <c r="N35" s="9" t="s">
        <v>1283</v>
      </c>
      <c r="O35" s="10" t="s">
        <v>1284</v>
      </c>
      <c r="P35" s="12" t="s">
        <v>38</v>
      </c>
      <c r="Q35" s="12" t="s">
        <v>1109</v>
      </c>
      <c r="R35" s="9" t="s">
        <v>1285</v>
      </c>
      <c r="S35" s="9" t="s">
        <v>1085</v>
      </c>
      <c r="T35" s="9" t="s">
        <v>1286</v>
      </c>
      <c r="U35" s="9" t="s">
        <v>1113</v>
      </c>
      <c r="V35" s="13" t="s">
        <v>1237</v>
      </c>
      <c r="W35" s="13" t="s">
        <v>1238</v>
      </c>
      <c r="X35" s="9" t="s">
        <v>993</v>
      </c>
      <c r="Y35" s="9" t="s">
        <v>1116</v>
      </c>
      <c r="Z35" s="9" t="s">
        <v>1287</v>
      </c>
      <c r="AA35" s="9" t="s">
        <v>48</v>
      </c>
      <c r="AB35" s="9" t="s">
        <v>48</v>
      </c>
      <c r="AC35" s="9" t="s">
        <v>48</v>
      </c>
      <c r="AD35" s="9" t="s">
        <v>48</v>
      </c>
      <c r="AE35"/>
    </row>
    <row r="36" spans="1:31">
      <c r="A36" s="16">
        <v>32</v>
      </c>
      <c r="B36" s="6" t="s">
        <v>1288</v>
      </c>
      <c r="C36" s="6"/>
      <c r="D36" s="16"/>
      <c r="E36" s="8"/>
      <c r="F36" s="9" t="s">
        <v>339</v>
      </c>
      <c r="G36" s="9" t="s">
        <v>76</v>
      </c>
      <c r="H36" s="9" t="s">
        <v>51</v>
      </c>
      <c r="I36" s="10" t="s">
        <v>1289</v>
      </c>
      <c r="J36" s="15" t="s">
        <v>982</v>
      </c>
      <c r="K36" s="9" t="s">
        <v>1230</v>
      </c>
      <c r="L36" s="9" t="s">
        <v>1231</v>
      </c>
      <c r="M36" s="11">
        <v>43633</v>
      </c>
      <c r="N36" s="9"/>
      <c r="O36" s="10"/>
      <c r="P36" s="12" t="s">
        <v>56</v>
      </c>
      <c r="Q36" s="12" t="s">
        <v>1290</v>
      </c>
      <c r="R36" s="9"/>
      <c r="S36" s="10" t="s">
        <v>1062</v>
      </c>
      <c r="T36" s="9"/>
      <c r="U36" s="9"/>
      <c r="V36" s="13"/>
      <c r="W36" s="13"/>
      <c r="X36" s="9"/>
      <c r="Y36" s="9" t="s">
        <v>1291</v>
      </c>
      <c r="Z36" s="9"/>
      <c r="AA36" s="9" t="s">
        <v>48</v>
      </c>
      <c r="AB36" s="9" t="s">
        <v>48</v>
      </c>
      <c r="AC36" s="9" t="s">
        <v>48</v>
      </c>
      <c r="AD36" s="9" t="s">
        <v>48</v>
      </c>
      <c r="AE36"/>
    </row>
    <row r="37" spans="1:31">
      <c r="A37" s="16">
        <v>33</v>
      </c>
      <c r="B37" s="6" t="s">
        <v>1292</v>
      </c>
      <c r="C37" s="7"/>
      <c r="D37" s="8"/>
      <c r="E37" s="8"/>
      <c r="F37" s="9" t="s">
        <v>1293</v>
      </c>
      <c r="G37" s="9" t="s">
        <v>76</v>
      </c>
      <c r="H37" s="9" t="s">
        <v>51</v>
      </c>
      <c r="I37" s="10" t="s">
        <v>1294</v>
      </c>
      <c r="J37" s="15" t="s">
        <v>982</v>
      </c>
      <c r="K37" s="9" t="s">
        <v>35</v>
      </c>
      <c r="L37" s="9" t="s">
        <v>984</v>
      </c>
      <c r="M37" s="11">
        <v>2009</v>
      </c>
      <c r="N37" s="9" t="s">
        <v>1295</v>
      </c>
      <c r="O37" s="9" t="s">
        <v>1296</v>
      </c>
      <c r="P37" s="12" t="s">
        <v>38</v>
      </c>
      <c r="Q37" s="12" t="s">
        <v>1158</v>
      </c>
      <c r="R37" s="9" t="s">
        <v>1297</v>
      </c>
      <c r="S37" s="9" t="s">
        <v>1085</v>
      </c>
      <c r="T37" s="9" t="s">
        <v>1298</v>
      </c>
      <c r="U37" s="9" t="s">
        <v>1161</v>
      </c>
      <c r="V37" s="13" t="s">
        <v>1162</v>
      </c>
      <c r="W37" s="13" t="s">
        <v>1138</v>
      </c>
      <c r="X37" s="9" t="s">
        <v>1163</v>
      </c>
      <c r="Y37" s="9" t="s">
        <v>1152</v>
      </c>
      <c r="Z37" s="9" t="s">
        <v>1299</v>
      </c>
      <c r="AA37" s="9" t="s">
        <v>48</v>
      </c>
      <c r="AB37" s="9" t="s">
        <v>48</v>
      </c>
      <c r="AC37" s="9" t="s">
        <v>48</v>
      </c>
      <c r="AD37" s="9" t="s">
        <v>48</v>
      </c>
      <c r="AE37"/>
    </row>
    <row r="38" spans="1:31">
      <c r="A38" s="16">
        <v>34</v>
      </c>
      <c r="B38" s="6" t="s">
        <v>1300</v>
      </c>
      <c r="C38" s="7"/>
      <c r="D38" s="8"/>
      <c r="E38" s="8"/>
      <c r="F38" s="9" t="s">
        <v>1301</v>
      </c>
      <c r="G38" s="9" t="s">
        <v>1181</v>
      </c>
      <c r="H38" s="9" t="s">
        <v>32</v>
      </c>
      <c r="I38" s="10" t="s">
        <v>1294</v>
      </c>
      <c r="J38" s="15" t="s">
        <v>982</v>
      </c>
      <c r="K38" s="9" t="s">
        <v>35</v>
      </c>
      <c r="L38" s="9" t="s">
        <v>984</v>
      </c>
      <c r="M38" s="11">
        <v>2011</v>
      </c>
      <c r="N38" s="9" t="s">
        <v>1302</v>
      </c>
      <c r="O38" s="9" t="s">
        <v>1303</v>
      </c>
      <c r="P38" s="12" t="s">
        <v>38</v>
      </c>
      <c r="Q38" s="12" t="s">
        <v>1304</v>
      </c>
      <c r="R38" s="9" t="s">
        <v>1305</v>
      </c>
      <c r="S38" s="9" t="s">
        <v>1111</v>
      </c>
      <c r="T38" s="9" t="s">
        <v>1306</v>
      </c>
      <c r="U38" s="9" t="s">
        <v>1307</v>
      </c>
      <c r="V38" s="13" t="s">
        <v>1308</v>
      </c>
      <c r="W38" s="13" t="s">
        <v>44</v>
      </c>
      <c r="X38" s="9" t="s">
        <v>45</v>
      </c>
      <c r="Y38" s="9" t="s">
        <v>1116</v>
      </c>
      <c r="Z38" s="9" t="s">
        <v>1309</v>
      </c>
      <c r="AA38" s="9" t="s">
        <v>1165</v>
      </c>
      <c r="AB38" s="9" t="s">
        <v>1310</v>
      </c>
      <c r="AC38" s="9" t="s">
        <v>48</v>
      </c>
      <c r="AD38" s="9" t="s">
        <v>48</v>
      </c>
      <c r="AE38"/>
    </row>
    <row r="39" spans="1:31">
      <c r="A39" s="16">
        <v>35</v>
      </c>
      <c r="B39" s="6" t="s">
        <v>1311</v>
      </c>
      <c r="C39" s="6" t="s">
        <v>1226</v>
      </c>
      <c r="D39" s="16">
        <v>28</v>
      </c>
      <c r="E39" s="8" t="s">
        <v>1312</v>
      </c>
      <c r="F39" s="9" t="s">
        <v>1313</v>
      </c>
      <c r="G39" s="9" t="s">
        <v>1181</v>
      </c>
      <c r="H39" s="9" t="s">
        <v>51</v>
      </c>
      <c r="I39" s="10" t="s">
        <v>1294</v>
      </c>
      <c r="J39" s="15" t="s">
        <v>982</v>
      </c>
      <c r="K39" s="9" t="s">
        <v>35</v>
      </c>
      <c r="L39" s="9" t="s">
        <v>1314</v>
      </c>
      <c r="M39" s="11">
        <v>2006</v>
      </c>
      <c r="N39" s="9" t="s">
        <v>1315</v>
      </c>
      <c r="O39" s="26" t="s">
        <v>1316</v>
      </c>
      <c r="P39" s="12" t="s">
        <v>56</v>
      </c>
      <c r="Q39" s="12" t="s">
        <v>1083</v>
      </c>
      <c r="R39" s="9" t="s">
        <v>1317</v>
      </c>
      <c r="S39" s="9" t="s">
        <v>1085</v>
      </c>
      <c r="T39" s="9" t="s">
        <v>1318</v>
      </c>
      <c r="U39" s="9" t="s">
        <v>1087</v>
      </c>
      <c r="V39" s="13" t="s">
        <v>1114</v>
      </c>
      <c r="W39" s="13" t="s">
        <v>1089</v>
      </c>
      <c r="X39" s="9" t="s">
        <v>1319</v>
      </c>
      <c r="Y39" s="9" t="s">
        <v>1320</v>
      </c>
      <c r="Z39" s="9" t="s">
        <v>1321</v>
      </c>
      <c r="AA39" s="9" t="s">
        <v>1093</v>
      </c>
      <c r="AB39" s="9" t="s">
        <v>1322</v>
      </c>
      <c r="AC39" s="9" t="s">
        <v>48</v>
      </c>
      <c r="AD39" s="9" t="s">
        <v>48</v>
      </c>
      <c r="AE39"/>
    </row>
    <row r="40" spans="1:31">
      <c r="A40" s="16">
        <v>36</v>
      </c>
      <c r="B40" s="6" t="s">
        <v>1323</v>
      </c>
      <c r="C40" s="7" t="s">
        <v>1018</v>
      </c>
      <c r="D40" s="8" t="s">
        <v>1018</v>
      </c>
      <c r="E40" s="8" t="s">
        <v>1018</v>
      </c>
      <c r="F40" s="9" t="s">
        <v>1324</v>
      </c>
      <c r="G40" s="9" t="s">
        <v>1181</v>
      </c>
      <c r="H40" s="9" t="s">
        <v>32</v>
      </c>
      <c r="I40" s="10" t="s">
        <v>1325</v>
      </c>
      <c r="J40" s="15" t="s">
        <v>982</v>
      </c>
      <c r="K40" s="9" t="s">
        <v>35</v>
      </c>
      <c r="L40" s="9" t="s">
        <v>1326</v>
      </c>
      <c r="M40" s="11">
        <v>2005</v>
      </c>
      <c r="N40" s="9" t="s">
        <v>1327</v>
      </c>
      <c r="O40" s="9"/>
      <c r="P40" s="12" t="s">
        <v>1328</v>
      </c>
      <c r="Q40" s="12" t="s">
        <v>75</v>
      </c>
      <c r="R40" s="9" t="s">
        <v>1329</v>
      </c>
      <c r="S40" s="9" t="s">
        <v>1085</v>
      </c>
      <c r="T40" s="9" t="s">
        <v>1330</v>
      </c>
      <c r="U40" s="9" t="s">
        <v>1331</v>
      </c>
      <c r="V40" s="13" t="s">
        <v>1332</v>
      </c>
      <c r="W40" s="13" t="s">
        <v>1333</v>
      </c>
      <c r="X40" s="9" t="s">
        <v>1334</v>
      </c>
      <c r="Y40" s="9" t="s">
        <v>1335</v>
      </c>
      <c r="Z40" s="9" t="s">
        <v>1336</v>
      </c>
      <c r="AA40" s="9" t="s">
        <v>1337</v>
      </c>
      <c r="AB40" s="9" t="s">
        <v>1338</v>
      </c>
      <c r="AC40" s="9" t="s">
        <v>48</v>
      </c>
      <c r="AD40" s="9" t="s">
        <v>48</v>
      </c>
      <c r="AE40"/>
    </row>
    <row r="41" spans="1:31">
      <c r="A41" s="16">
        <v>37</v>
      </c>
      <c r="B41" s="6" t="s">
        <v>1339</v>
      </c>
      <c r="C41" s="7"/>
      <c r="D41" s="8"/>
      <c r="E41" s="8"/>
      <c r="F41" s="9" t="s">
        <v>1340</v>
      </c>
      <c r="G41" s="9" t="s">
        <v>1181</v>
      </c>
      <c r="H41" s="9" t="s">
        <v>32</v>
      </c>
      <c r="I41" s="10" t="s">
        <v>1341</v>
      </c>
      <c r="J41" s="15" t="s">
        <v>34</v>
      </c>
      <c r="K41" s="9" t="s">
        <v>35</v>
      </c>
      <c r="L41" s="9" t="s">
        <v>984</v>
      </c>
      <c r="M41" s="11">
        <v>2003</v>
      </c>
      <c r="N41" s="9"/>
      <c r="O41" s="9"/>
      <c r="P41" s="12" t="s">
        <v>38</v>
      </c>
      <c r="Q41" s="12" t="s">
        <v>1342</v>
      </c>
      <c r="R41" s="9" t="s">
        <v>1343</v>
      </c>
      <c r="S41" s="9" t="s">
        <v>1344</v>
      </c>
      <c r="T41" s="9" t="s">
        <v>1345</v>
      </c>
      <c r="U41" s="9" t="s">
        <v>1087</v>
      </c>
      <c r="V41" s="13" t="s">
        <v>1346</v>
      </c>
      <c r="W41" s="13" t="s">
        <v>1333</v>
      </c>
      <c r="X41" s="9" t="s">
        <v>1347</v>
      </c>
      <c r="Y41" s="9" t="s">
        <v>1139</v>
      </c>
      <c r="Z41" s="9" t="s">
        <v>1348</v>
      </c>
      <c r="AA41" s="9" t="s">
        <v>48</v>
      </c>
      <c r="AB41" s="9" t="s">
        <v>48</v>
      </c>
      <c r="AC41" s="9" t="s">
        <v>48</v>
      </c>
      <c r="AD41" s="9" t="s">
        <v>48</v>
      </c>
      <c r="AE41"/>
    </row>
    <row r="42" spans="1:31">
      <c r="A42" s="16">
        <v>38</v>
      </c>
      <c r="B42" s="6" t="s">
        <v>1349</v>
      </c>
      <c r="C42" s="7"/>
      <c r="D42" s="8"/>
      <c r="E42" s="8"/>
      <c r="F42" s="9" t="s">
        <v>1350</v>
      </c>
      <c r="G42" s="9" t="s">
        <v>1181</v>
      </c>
      <c r="H42" s="9" t="s">
        <v>51</v>
      </c>
      <c r="I42" s="10" t="s">
        <v>1351</v>
      </c>
      <c r="J42" s="15" t="s">
        <v>34</v>
      </c>
      <c r="K42" s="9" t="s">
        <v>35</v>
      </c>
      <c r="L42" s="9" t="s">
        <v>1352</v>
      </c>
      <c r="M42" s="11">
        <v>2004</v>
      </c>
      <c r="N42" s="9"/>
      <c r="O42" s="10"/>
      <c r="P42" s="12" t="s">
        <v>38</v>
      </c>
      <c r="Q42" s="12" t="s">
        <v>1353</v>
      </c>
      <c r="R42" s="9" t="s">
        <v>1354</v>
      </c>
      <c r="S42" s="9" t="s">
        <v>1085</v>
      </c>
      <c r="T42" s="9" t="s">
        <v>1355</v>
      </c>
      <c r="U42" s="9" t="s">
        <v>1087</v>
      </c>
      <c r="V42" s="13" t="s">
        <v>1266</v>
      </c>
      <c r="W42" s="13" t="s">
        <v>1089</v>
      </c>
      <c r="X42" s="9" t="s">
        <v>1347</v>
      </c>
      <c r="Y42" s="9" t="s">
        <v>1356</v>
      </c>
      <c r="Z42" s="9" t="s">
        <v>1357</v>
      </c>
      <c r="AA42" s="9" t="s">
        <v>48</v>
      </c>
      <c r="AB42" s="9" t="s">
        <v>48</v>
      </c>
      <c r="AC42" s="9" t="s">
        <v>48</v>
      </c>
      <c r="AD42" s="9" t="s">
        <v>48</v>
      </c>
      <c r="AE42"/>
    </row>
    <row r="43" spans="1:31">
      <c r="A43" s="16">
        <v>39</v>
      </c>
      <c r="B43" s="6" t="s">
        <v>1358</v>
      </c>
      <c r="C43" s="7"/>
      <c r="D43" s="8"/>
      <c r="E43" s="8"/>
      <c r="F43" s="9" t="s">
        <v>1359</v>
      </c>
      <c r="G43" s="9" t="s">
        <v>1181</v>
      </c>
      <c r="H43" s="9" t="s">
        <v>51</v>
      </c>
      <c r="I43" s="10" t="s">
        <v>1294</v>
      </c>
      <c r="J43" s="15" t="s">
        <v>982</v>
      </c>
      <c r="K43" s="9" t="s">
        <v>35</v>
      </c>
      <c r="L43" s="9" t="s">
        <v>984</v>
      </c>
      <c r="M43" s="11">
        <v>2008</v>
      </c>
      <c r="N43" s="9"/>
      <c r="O43" s="10"/>
      <c r="P43" s="12" t="s">
        <v>38</v>
      </c>
      <c r="Q43" s="12" t="s">
        <v>1360</v>
      </c>
      <c r="R43" s="9" t="s">
        <v>1361</v>
      </c>
      <c r="S43" s="9" t="s">
        <v>1085</v>
      </c>
      <c r="T43" s="9" t="s">
        <v>1362</v>
      </c>
      <c r="U43" s="9" t="s">
        <v>1161</v>
      </c>
      <c r="V43" s="13" t="s">
        <v>1363</v>
      </c>
      <c r="W43" s="13" t="s">
        <v>1089</v>
      </c>
      <c r="X43" s="9"/>
      <c r="Y43" s="9" t="s">
        <v>1152</v>
      </c>
      <c r="Z43" s="9" t="s">
        <v>1364</v>
      </c>
      <c r="AA43" s="9" t="s">
        <v>48</v>
      </c>
      <c r="AB43" s="9" t="s">
        <v>48</v>
      </c>
      <c r="AC43" s="9" t="s">
        <v>48</v>
      </c>
      <c r="AD43" s="9" t="s">
        <v>48</v>
      </c>
      <c r="AE43"/>
    </row>
    <row r="44" spans="1:31">
      <c r="A44" s="16">
        <v>40</v>
      </c>
      <c r="B44" s="6" t="s">
        <v>1365</v>
      </c>
      <c r="C44" s="7"/>
      <c r="D44" s="8"/>
      <c r="E44" s="8"/>
      <c r="F44" s="9" t="s">
        <v>1366</v>
      </c>
      <c r="G44" s="9" t="s">
        <v>1181</v>
      </c>
      <c r="H44" s="9" t="s">
        <v>51</v>
      </c>
      <c r="I44" s="10" t="s">
        <v>1294</v>
      </c>
      <c r="J44" s="15" t="s">
        <v>982</v>
      </c>
      <c r="K44" s="9" t="s">
        <v>35</v>
      </c>
      <c r="L44" s="9" t="s">
        <v>984</v>
      </c>
      <c r="M44" s="11">
        <v>2006</v>
      </c>
      <c r="N44" s="9"/>
      <c r="O44" s="9"/>
      <c r="P44" s="12" t="s">
        <v>38</v>
      </c>
      <c r="Q44" s="12" t="s">
        <v>1367</v>
      </c>
      <c r="R44" s="9" t="s">
        <v>1368</v>
      </c>
      <c r="S44" s="9" t="s">
        <v>1085</v>
      </c>
      <c r="T44" s="9" t="s">
        <v>1369</v>
      </c>
      <c r="U44" s="9" t="s">
        <v>1087</v>
      </c>
      <c r="V44" s="13" t="s">
        <v>1114</v>
      </c>
      <c r="W44" s="13" t="s">
        <v>1333</v>
      </c>
      <c r="X44" s="9" t="s">
        <v>1370</v>
      </c>
      <c r="Y44" s="9" t="s">
        <v>1139</v>
      </c>
      <c r="Z44" s="9" t="s">
        <v>1371</v>
      </c>
      <c r="AA44" s="9" t="s">
        <v>48</v>
      </c>
      <c r="AB44" s="9" t="s">
        <v>48</v>
      </c>
      <c r="AC44" s="9" t="s">
        <v>48</v>
      </c>
      <c r="AD44" s="9" t="s">
        <v>48</v>
      </c>
      <c r="AE44"/>
    </row>
    <row r="45" spans="1:31">
      <c r="A45" s="16">
        <v>41</v>
      </c>
      <c r="B45" s="6" t="s">
        <v>1372</v>
      </c>
      <c r="C45" s="7"/>
      <c r="D45" s="8"/>
      <c r="E45" s="8"/>
      <c r="F45" s="9" t="s">
        <v>1373</v>
      </c>
      <c r="G45" s="9" t="s">
        <v>1181</v>
      </c>
      <c r="H45" s="9" t="s">
        <v>51</v>
      </c>
      <c r="I45" s="10" t="s">
        <v>1294</v>
      </c>
      <c r="J45" s="15" t="s">
        <v>1374</v>
      </c>
      <c r="K45" s="9" t="s">
        <v>35</v>
      </c>
      <c r="L45" s="9" t="s">
        <v>984</v>
      </c>
      <c r="M45" s="11">
        <v>2009</v>
      </c>
      <c r="N45" s="9"/>
      <c r="O45" s="9"/>
      <c r="P45" s="12" t="s">
        <v>38</v>
      </c>
      <c r="Q45" s="12" t="s">
        <v>1194</v>
      </c>
      <c r="R45" s="9" t="s">
        <v>1375</v>
      </c>
      <c r="S45" s="9" t="s">
        <v>1085</v>
      </c>
      <c r="T45" s="9" t="s">
        <v>1376</v>
      </c>
      <c r="U45" s="9" t="s">
        <v>1161</v>
      </c>
      <c r="V45" s="13" t="s">
        <v>1162</v>
      </c>
      <c r="W45" s="13" t="s">
        <v>1138</v>
      </c>
      <c r="X45" s="9" t="s">
        <v>1163</v>
      </c>
      <c r="Y45" s="9" t="s">
        <v>1152</v>
      </c>
      <c r="Z45" s="9" t="s">
        <v>1377</v>
      </c>
      <c r="AA45" s="9" t="s">
        <v>48</v>
      </c>
      <c r="AB45" s="9" t="s">
        <v>48</v>
      </c>
      <c r="AC45" s="9" t="s">
        <v>48</v>
      </c>
      <c r="AD45" s="9" t="s">
        <v>48</v>
      </c>
      <c r="AE45"/>
    </row>
    <row r="46" spans="1:31">
      <c r="A46" s="16">
        <v>42</v>
      </c>
      <c r="B46" s="6" t="s">
        <v>1378</v>
      </c>
      <c r="C46" s="6" t="s">
        <v>1226</v>
      </c>
      <c r="D46" s="16">
        <v>27</v>
      </c>
      <c r="E46" s="16" t="s">
        <v>1379</v>
      </c>
      <c r="F46" s="9" t="s">
        <v>1380</v>
      </c>
      <c r="G46" s="9" t="s">
        <v>1181</v>
      </c>
      <c r="H46" s="9" t="s">
        <v>51</v>
      </c>
      <c r="I46" s="10" t="s">
        <v>1294</v>
      </c>
      <c r="J46" s="15" t="s">
        <v>982</v>
      </c>
      <c r="K46" s="9" t="s">
        <v>35</v>
      </c>
      <c r="L46" s="9" t="s">
        <v>1381</v>
      </c>
      <c r="M46" s="11">
        <v>2007</v>
      </c>
      <c r="N46" s="9" t="s">
        <v>269</v>
      </c>
      <c r="O46" s="30" t="s">
        <v>1382</v>
      </c>
      <c r="P46" s="12" t="s">
        <v>1383</v>
      </c>
      <c r="Q46" s="12" t="s">
        <v>1383</v>
      </c>
      <c r="R46" s="9">
        <v>269503</v>
      </c>
      <c r="S46" s="9" t="s">
        <v>1085</v>
      </c>
      <c r="T46" s="9" t="s">
        <v>1384</v>
      </c>
      <c r="U46" s="9" t="s">
        <v>1161</v>
      </c>
      <c r="V46" s="13" t="s">
        <v>1385</v>
      </c>
      <c r="W46" s="13" t="s">
        <v>1089</v>
      </c>
      <c r="X46" s="9" t="s">
        <v>1370</v>
      </c>
      <c r="Y46" s="9" t="s">
        <v>1152</v>
      </c>
      <c r="Z46" s="9" t="s">
        <v>1386</v>
      </c>
      <c r="AA46" s="9" t="s">
        <v>48</v>
      </c>
      <c r="AB46" s="9" t="s">
        <v>48</v>
      </c>
      <c r="AC46" s="9" t="s">
        <v>48</v>
      </c>
      <c r="AD46" s="9" t="s">
        <v>48</v>
      </c>
      <c r="AE46"/>
    </row>
    <row r="47" spans="1:31">
      <c r="A47" s="16">
        <v>43</v>
      </c>
      <c r="B47" s="6" t="s">
        <v>1387</v>
      </c>
      <c r="C47" s="7"/>
      <c r="D47" s="8"/>
      <c r="E47" s="8"/>
      <c r="F47" s="9" t="s">
        <v>1388</v>
      </c>
      <c r="G47" s="9" t="s">
        <v>1181</v>
      </c>
      <c r="H47" s="9" t="s">
        <v>51</v>
      </c>
      <c r="I47" s="10" t="s">
        <v>1294</v>
      </c>
      <c r="J47" s="15" t="s">
        <v>982</v>
      </c>
      <c r="K47" s="9" t="s">
        <v>35</v>
      </c>
      <c r="L47" s="9" t="s">
        <v>1389</v>
      </c>
      <c r="M47" s="11">
        <v>2009</v>
      </c>
      <c r="N47" s="9"/>
      <c r="O47" s="9"/>
      <c r="P47" s="12" t="s">
        <v>38</v>
      </c>
      <c r="Q47" s="12" t="s">
        <v>1158</v>
      </c>
      <c r="R47" s="9" t="s">
        <v>1390</v>
      </c>
      <c r="S47" s="9" t="s">
        <v>1085</v>
      </c>
      <c r="T47" s="9" t="s">
        <v>1391</v>
      </c>
      <c r="U47" s="9" t="s">
        <v>1161</v>
      </c>
      <c r="V47" s="13" t="s">
        <v>1162</v>
      </c>
      <c r="W47" s="13" t="s">
        <v>1138</v>
      </c>
      <c r="X47" s="9" t="s">
        <v>1163</v>
      </c>
      <c r="Y47" s="9" t="s">
        <v>1152</v>
      </c>
      <c r="Z47" s="9" t="s">
        <v>1392</v>
      </c>
      <c r="AA47" s="9" t="s">
        <v>48</v>
      </c>
      <c r="AB47" s="9" t="s">
        <v>48</v>
      </c>
      <c r="AC47" s="9" t="s">
        <v>48</v>
      </c>
      <c r="AD47" s="9" t="s">
        <v>48</v>
      </c>
      <c r="AE47"/>
    </row>
    <row r="48" spans="1:31">
      <c r="A48" s="16">
        <v>44</v>
      </c>
      <c r="B48" s="6" t="s">
        <v>1393</v>
      </c>
      <c r="C48" s="7"/>
      <c r="D48" s="8"/>
      <c r="E48" s="8"/>
      <c r="F48" s="9" t="s">
        <v>1394</v>
      </c>
      <c r="G48" s="9" t="s">
        <v>1181</v>
      </c>
      <c r="H48" s="9" t="s">
        <v>51</v>
      </c>
      <c r="I48" s="10" t="s">
        <v>1294</v>
      </c>
      <c r="J48" s="15" t="s">
        <v>982</v>
      </c>
      <c r="K48" s="9" t="s">
        <v>35</v>
      </c>
      <c r="L48" s="9" t="s">
        <v>984</v>
      </c>
      <c r="M48" s="11">
        <v>2009</v>
      </c>
      <c r="N48" s="9" t="s">
        <v>1395</v>
      </c>
      <c r="O48" s="30" t="s">
        <v>1396</v>
      </c>
      <c r="P48" s="12" t="s">
        <v>38</v>
      </c>
      <c r="Q48" s="12" t="s">
        <v>1158</v>
      </c>
      <c r="R48" s="9" t="s">
        <v>1397</v>
      </c>
      <c r="S48" s="9" t="s">
        <v>1085</v>
      </c>
      <c r="T48" s="9" t="s">
        <v>1398</v>
      </c>
      <c r="U48" s="9" t="s">
        <v>1161</v>
      </c>
      <c r="V48" s="13" t="s">
        <v>1162</v>
      </c>
      <c r="W48" s="13" t="s">
        <v>1138</v>
      </c>
      <c r="X48" s="9" t="s">
        <v>1163</v>
      </c>
      <c r="Y48" s="9" t="s">
        <v>1152</v>
      </c>
      <c r="Z48" s="9" t="s">
        <v>1399</v>
      </c>
      <c r="AA48" s="9" t="s">
        <v>48</v>
      </c>
      <c r="AB48" s="9" t="s">
        <v>48</v>
      </c>
      <c r="AC48" s="9" t="s">
        <v>48</v>
      </c>
      <c r="AD48" s="9" t="s">
        <v>48</v>
      </c>
      <c r="AE48"/>
    </row>
    <row r="49" spans="1:31">
      <c r="A49" s="16">
        <v>45</v>
      </c>
      <c r="B49" s="60" t="s">
        <v>1400</v>
      </c>
      <c r="C49" s="58"/>
      <c r="D49" s="70"/>
      <c r="E49" s="70"/>
      <c r="F49" s="59" t="s">
        <v>1401</v>
      </c>
      <c r="G49" s="59" t="s">
        <v>1181</v>
      </c>
      <c r="H49" s="59" t="s">
        <v>32</v>
      </c>
      <c r="I49" s="59" t="s">
        <v>1294</v>
      </c>
      <c r="J49" s="15" t="s">
        <v>1243</v>
      </c>
      <c r="K49" s="10" t="s">
        <v>35</v>
      </c>
      <c r="L49" s="10" t="s">
        <v>984</v>
      </c>
      <c r="M49" s="11">
        <v>42826</v>
      </c>
      <c r="N49" s="10" t="s">
        <v>1402</v>
      </c>
      <c r="O49" s="10" t="s">
        <v>1403</v>
      </c>
      <c r="P49" s="10" t="s">
        <v>38</v>
      </c>
      <c r="Q49" s="10" t="s">
        <v>67</v>
      </c>
      <c r="R49" s="10" t="s">
        <v>68</v>
      </c>
      <c r="S49" s="10" t="s">
        <v>1404</v>
      </c>
      <c r="T49" s="10" t="s">
        <v>69</v>
      </c>
      <c r="U49" s="10" t="s">
        <v>70</v>
      </c>
      <c r="V49" s="32" t="s">
        <v>1025</v>
      </c>
      <c r="W49" s="32" t="s">
        <v>62</v>
      </c>
      <c r="X49" s="9" t="s">
        <v>45</v>
      </c>
      <c r="Y49" s="9" t="s">
        <v>88</v>
      </c>
      <c r="Z49" s="10" t="s">
        <v>344</v>
      </c>
      <c r="AA49" s="10" t="s">
        <v>48</v>
      </c>
      <c r="AB49" s="10" t="s">
        <v>48</v>
      </c>
      <c r="AC49" s="10" t="s">
        <v>48</v>
      </c>
      <c r="AD49" s="10" t="s">
        <v>48</v>
      </c>
    </row>
    <row r="50" spans="1:31" s="2" customFormat="1">
      <c r="A50" s="16">
        <v>46</v>
      </c>
      <c r="B50" s="6" t="s">
        <v>1405</v>
      </c>
      <c r="C50" s="6" t="s">
        <v>1406</v>
      </c>
      <c r="D50" s="16">
        <v>7</v>
      </c>
      <c r="E50" s="16" t="s">
        <v>1407</v>
      </c>
      <c r="F50" s="9" t="s">
        <v>1408</v>
      </c>
      <c r="G50" s="9" t="s">
        <v>76</v>
      </c>
      <c r="H50" s="9" t="s">
        <v>32</v>
      </c>
      <c r="I50" s="10" t="s">
        <v>1409</v>
      </c>
      <c r="J50" s="15" t="s">
        <v>982</v>
      </c>
      <c r="K50" s="9" t="s">
        <v>35</v>
      </c>
      <c r="L50" s="9" t="s">
        <v>984</v>
      </c>
      <c r="M50" s="11">
        <v>2010</v>
      </c>
      <c r="N50" s="9" t="s">
        <v>1410</v>
      </c>
      <c r="O50" s="9" t="s">
        <v>1411</v>
      </c>
      <c r="P50" s="12" t="s">
        <v>38</v>
      </c>
      <c r="Q50" s="12" t="s">
        <v>1412</v>
      </c>
      <c r="R50" s="9" t="s">
        <v>1413</v>
      </c>
      <c r="S50" s="9" t="s">
        <v>1111</v>
      </c>
      <c r="T50" s="9" t="s">
        <v>1414</v>
      </c>
      <c r="U50" s="9" t="s">
        <v>1415</v>
      </c>
      <c r="V50" s="13" t="s">
        <v>1416</v>
      </c>
      <c r="W50" s="13" t="s">
        <v>1238</v>
      </c>
      <c r="X50" s="9" t="s">
        <v>1267</v>
      </c>
      <c r="Y50" s="9" t="s">
        <v>1152</v>
      </c>
      <c r="Z50" s="9" t="s">
        <v>1414</v>
      </c>
      <c r="AA50" s="9" t="s">
        <v>1417</v>
      </c>
      <c r="AB50" s="9" t="s">
        <v>1418</v>
      </c>
      <c r="AC50" s="9" t="s">
        <v>1165</v>
      </c>
      <c r="AD50" s="9" t="s">
        <v>1419</v>
      </c>
      <c r="AE50"/>
    </row>
    <row r="51" spans="1:31">
      <c r="A51" s="16">
        <v>47</v>
      </c>
      <c r="B51" s="6" t="s">
        <v>1420</v>
      </c>
      <c r="C51" s="6" t="s">
        <v>978</v>
      </c>
      <c r="D51" s="16">
        <v>28</v>
      </c>
      <c r="E51" s="16" t="s">
        <v>1421</v>
      </c>
      <c r="F51" s="9" t="s">
        <v>1422</v>
      </c>
      <c r="G51" s="9" t="s">
        <v>76</v>
      </c>
      <c r="H51" s="9" t="s">
        <v>32</v>
      </c>
      <c r="I51" s="10" t="s">
        <v>1423</v>
      </c>
      <c r="J51" s="15" t="s">
        <v>982</v>
      </c>
      <c r="K51" s="9" t="s">
        <v>35</v>
      </c>
      <c r="L51" s="9" t="s">
        <v>984</v>
      </c>
      <c r="M51" s="11">
        <v>2014</v>
      </c>
      <c r="N51" s="9" t="s">
        <v>1424</v>
      </c>
      <c r="O51" s="10" t="s">
        <v>1425</v>
      </c>
      <c r="P51" s="12" t="s">
        <v>38</v>
      </c>
      <c r="Q51" s="12" t="s">
        <v>1426</v>
      </c>
      <c r="R51" s="31" t="s">
        <v>1427</v>
      </c>
      <c r="S51" s="9" t="s">
        <v>1003</v>
      </c>
      <c r="T51" s="9" t="s">
        <v>1428</v>
      </c>
      <c r="U51" s="9" t="s">
        <v>1429</v>
      </c>
      <c r="V51" s="13" t="s">
        <v>1346</v>
      </c>
      <c r="W51" s="13" t="s">
        <v>1430</v>
      </c>
      <c r="X51" s="9" t="s">
        <v>98</v>
      </c>
      <c r="Y51" s="9" t="s">
        <v>46</v>
      </c>
      <c r="Z51" s="9" t="s">
        <v>1431</v>
      </c>
      <c r="AA51" s="9" t="s">
        <v>48</v>
      </c>
      <c r="AB51" s="9" t="s">
        <v>48</v>
      </c>
      <c r="AC51" s="9" t="s">
        <v>48</v>
      </c>
      <c r="AD51" s="9" t="s">
        <v>48</v>
      </c>
      <c r="AE51"/>
    </row>
    <row r="52" spans="1:31">
      <c r="A52" s="16">
        <v>48</v>
      </c>
      <c r="B52" s="6" t="s">
        <v>1432</v>
      </c>
      <c r="C52" s="7" t="s">
        <v>1433</v>
      </c>
      <c r="D52" s="8" t="s">
        <v>1434</v>
      </c>
      <c r="E52" s="8" t="s">
        <v>1434</v>
      </c>
      <c r="F52" s="9" t="s">
        <v>1435</v>
      </c>
      <c r="G52" s="9" t="s">
        <v>76</v>
      </c>
      <c r="H52" s="9" t="s">
        <v>32</v>
      </c>
      <c r="I52" s="10" t="s">
        <v>1436</v>
      </c>
      <c r="J52" s="15" t="s">
        <v>982</v>
      </c>
      <c r="K52" s="9" t="s">
        <v>35</v>
      </c>
      <c r="L52" s="9" t="s">
        <v>984</v>
      </c>
      <c r="M52" s="11">
        <v>2015</v>
      </c>
      <c r="N52" s="9" t="s">
        <v>1437</v>
      </c>
      <c r="O52" s="10" t="s">
        <v>1438</v>
      </c>
      <c r="P52" s="12" t="s">
        <v>38</v>
      </c>
      <c r="Q52" s="12" t="s">
        <v>39</v>
      </c>
      <c r="R52" s="9" t="s">
        <v>40</v>
      </c>
      <c r="S52" s="9" t="s">
        <v>1003</v>
      </c>
      <c r="T52" s="9" t="s">
        <v>1439</v>
      </c>
      <c r="U52" s="9" t="s">
        <v>43</v>
      </c>
      <c r="V52" s="13"/>
      <c r="W52" s="13" t="s">
        <v>44</v>
      </c>
      <c r="X52" s="9" t="s">
        <v>45</v>
      </c>
      <c r="Y52" s="9" t="s">
        <v>46</v>
      </c>
      <c r="Z52" s="9" t="s">
        <v>47</v>
      </c>
      <c r="AA52" s="9" t="s">
        <v>48</v>
      </c>
      <c r="AB52" s="9" t="s">
        <v>48</v>
      </c>
      <c r="AC52" s="9" t="s">
        <v>48</v>
      </c>
      <c r="AD52" s="9" t="s">
        <v>48</v>
      </c>
      <c r="AE52"/>
    </row>
    <row r="53" spans="1:31">
      <c r="A53" s="16">
        <v>49</v>
      </c>
      <c r="B53" s="6" t="s">
        <v>1440</v>
      </c>
      <c r="C53" s="7"/>
      <c r="D53" s="8"/>
      <c r="E53" s="8"/>
      <c r="F53" s="9" t="s">
        <v>1441</v>
      </c>
      <c r="G53" s="9" t="s">
        <v>76</v>
      </c>
      <c r="H53" s="9" t="s">
        <v>32</v>
      </c>
      <c r="I53" s="10" t="s">
        <v>1442</v>
      </c>
      <c r="J53" s="15" t="s">
        <v>982</v>
      </c>
      <c r="K53" s="9" t="s">
        <v>35</v>
      </c>
      <c r="L53" s="9" t="s">
        <v>984</v>
      </c>
      <c r="M53" s="11">
        <v>42705</v>
      </c>
      <c r="N53" s="9" t="s">
        <v>1443</v>
      </c>
      <c r="O53" s="9" t="s">
        <v>1444</v>
      </c>
      <c r="P53" s="12" t="s">
        <v>38</v>
      </c>
      <c r="Q53" s="12" t="s">
        <v>1445</v>
      </c>
      <c r="R53" s="9" t="s">
        <v>1446</v>
      </c>
      <c r="S53" s="9" t="s">
        <v>1447</v>
      </c>
      <c r="T53" s="9"/>
      <c r="U53" s="9"/>
      <c r="V53" s="13"/>
      <c r="W53" s="13"/>
      <c r="X53" s="9"/>
      <c r="Y53" s="9"/>
      <c r="Z53" s="9"/>
      <c r="AA53" s="9" t="s">
        <v>48</v>
      </c>
      <c r="AB53" s="9" t="s">
        <v>48</v>
      </c>
      <c r="AC53" s="9" t="s">
        <v>48</v>
      </c>
      <c r="AD53" s="9" t="s">
        <v>48</v>
      </c>
      <c r="AE53"/>
    </row>
    <row r="54" spans="1:31">
      <c r="A54" s="16">
        <v>50</v>
      </c>
      <c r="B54" s="22" t="s">
        <v>1448</v>
      </c>
      <c r="C54" s="7"/>
      <c r="D54" s="8"/>
      <c r="E54" s="8"/>
      <c r="F54" s="10" t="s">
        <v>1449</v>
      </c>
      <c r="G54" s="10" t="s">
        <v>76</v>
      </c>
      <c r="H54" s="10" t="s">
        <v>32</v>
      </c>
      <c r="I54" s="10" t="s">
        <v>1450</v>
      </c>
      <c r="J54" s="15" t="s">
        <v>1243</v>
      </c>
      <c r="K54" s="10" t="s">
        <v>35</v>
      </c>
      <c r="L54" s="10" t="s">
        <v>1326</v>
      </c>
      <c r="M54" s="11">
        <v>42705</v>
      </c>
      <c r="N54" s="30" t="s">
        <v>1451</v>
      </c>
      <c r="O54" s="10" t="s">
        <v>1452</v>
      </c>
      <c r="P54" s="10" t="s">
        <v>1453</v>
      </c>
      <c r="Q54" s="10" t="s">
        <v>1454</v>
      </c>
      <c r="R54" s="10" t="s">
        <v>1018</v>
      </c>
      <c r="S54" s="10" t="s">
        <v>1404</v>
      </c>
      <c r="T54" s="10" t="s">
        <v>1018</v>
      </c>
      <c r="U54" s="10" t="s">
        <v>1455</v>
      </c>
      <c r="V54" s="10" t="s">
        <v>1456</v>
      </c>
      <c r="W54" s="10" t="s">
        <v>86</v>
      </c>
      <c r="X54" s="10" t="s">
        <v>1163</v>
      </c>
      <c r="Y54" s="9" t="s">
        <v>88</v>
      </c>
      <c r="Z54" s="10" t="s">
        <v>1457</v>
      </c>
      <c r="AA54" s="10" t="s">
        <v>48</v>
      </c>
      <c r="AB54" s="10" t="s">
        <v>48</v>
      </c>
      <c r="AC54" s="10" t="s">
        <v>48</v>
      </c>
      <c r="AD54" s="10" t="s">
        <v>48</v>
      </c>
      <c r="AE54"/>
    </row>
    <row r="55" spans="1:31">
      <c r="A55" s="16">
        <v>51</v>
      </c>
      <c r="B55" s="22" t="s">
        <v>1458</v>
      </c>
      <c r="C55" s="36" t="s">
        <v>1459</v>
      </c>
      <c r="D55" s="33" t="s">
        <v>1459</v>
      </c>
      <c r="E55" s="33" t="s">
        <v>1459</v>
      </c>
      <c r="F55" s="10" t="s">
        <v>1460</v>
      </c>
      <c r="G55" s="10" t="s">
        <v>76</v>
      </c>
      <c r="H55" s="10" t="s">
        <v>32</v>
      </c>
      <c r="I55" s="10" t="s">
        <v>1461</v>
      </c>
      <c r="J55" s="15" t="s">
        <v>1243</v>
      </c>
      <c r="K55" s="10" t="s">
        <v>35</v>
      </c>
      <c r="L55" s="10" t="s">
        <v>984</v>
      </c>
      <c r="M55" s="11">
        <v>43020</v>
      </c>
      <c r="N55" s="10" t="s">
        <v>92</v>
      </c>
      <c r="O55" s="10" t="s">
        <v>93</v>
      </c>
      <c r="P55" s="10" t="s">
        <v>94</v>
      </c>
      <c r="Q55" s="10" t="s">
        <v>95</v>
      </c>
      <c r="R55" s="10" t="s">
        <v>96</v>
      </c>
      <c r="S55" s="10" t="s">
        <v>1062</v>
      </c>
      <c r="T55" s="29" t="s">
        <v>97</v>
      </c>
      <c r="U55" s="10" t="s">
        <v>85</v>
      </c>
      <c r="V55" s="10" t="s">
        <v>1462</v>
      </c>
      <c r="W55" s="10" t="s">
        <v>86</v>
      </c>
      <c r="X55" s="10" t="s">
        <v>98</v>
      </c>
      <c r="Y55" s="10" t="s">
        <v>88</v>
      </c>
      <c r="Z55" s="10" t="s">
        <v>212</v>
      </c>
      <c r="AA55" s="10" t="s">
        <v>48</v>
      </c>
      <c r="AB55" s="10" t="s">
        <v>48</v>
      </c>
      <c r="AC55" s="10" t="s">
        <v>48</v>
      </c>
      <c r="AD55" s="10" t="s">
        <v>48</v>
      </c>
      <c r="AE55"/>
    </row>
    <row r="56" spans="1:31">
      <c r="A56" s="16">
        <v>52</v>
      </c>
      <c r="B56" s="6" t="s">
        <v>1463</v>
      </c>
      <c r="C56" s="7"/>
      <c r="D56" s="8"/>
      <c r="E56" s="8"/>
      <c r="F56" s="9" t="s">
        <v>1464</v>
      </c>
      <c r="G56" s="9" t="s">
        <v>76</v>
      </c>
      <c r="H56" s="9" t="s">
        <v>51</v>
      </c>
      <c r="I56" s="10" t="s">
        <v>1465</v>
      </c>
      <c r="J56" s="15" t="s">
        <v>34</v>
      </c>
      <c r="K56" s="9" t="s">
        <v>1466</v>
      </c>
      <c r="L56" s="9" t="s">
        <v>1467</v>
      </c>
      <c r="M56" s="11">
        <v>2010</v>
      </c>
      <c r="N56" s="9" t="s">
        <v>1468</v>
      </c>
      <c r="O56" s="9" t="s">
        <v>1469</v>
      </c>
      <c r="P56" s="12" t="s">
        <v>1001</v>
      </c>
      <c r="Q56" s="12" t="s">
        <v>1109</v>
      </c>
      <c r="R56" s="9" t="s">
        <v>1470</v>
      </c>
      <c r="S56" s="9" t="s">
        <v>1111</v>
      </c>
      <c r="T56" s="9" t="s">
        <v>1471</v>
      </c>
      <c r="U56" s="9" t="s">
        <v>1161</v>
      </c>
      <c r="V56" s="13" t="s">
        <v>1266</v>
      </c>
      <c r="W56" s="13" t="s">
        <v>1115</v>
      </c>
      <c r="X56" s="9" t="s">
        <v>1267</v>
      </c>
      <c r="Y56" s="9" t="s">
        <v>1116</v>
      </c>
      <c r="Z56" s="9" t="s">
        <v>1472</v>
      </c>
      <c r="AA56" s="9" t="s">
        <v>48</v>
      </c>
      <c r="AB56" s="9" t="s">
        <v>48</v>
      </c>
      <c r="AC56" s="9" t="s">
        <v>48</v>
      </c>
      <c r="AD56" s="9" t="s">
        <v>48</v>
      </c>
      <c r="AE56"/>
    </row>
    <row r="57" spans="1:31">
      <c r="A57" s="16">
        <v>53</v>
      </c>
      <c r="B57" s="6" t="s">
        <v>1473</v>
      </c>
      <c r="C57" s="6" t="s">
        <v>978</v>
      </c>
      <c r="D57" s="16">
        <v>35</v>
      </c>
      <c r="E57" s="16" t="s">
        <v>1474</v>
      </c>
      <c r="F57" s="9" t="s">
        <v>1475</v>
      </c>
      <c r="G57" s="9" t="s">
        <v>76</v>
      </c>
      <c r="H57" s="9" t="s">
        <v>51</v>
      </c>
      <c r="I57" s="10" t="s">
        <v>295</v>
      </c>
      <c r="J57" s="15" t="s">
        <v>982</v>
      </c>
      <c r="K57" s="9" t="s">
        <v>1466</v>
      </c>
      <c r="L57" s="9" t="s">
        <v>1467</v>
      </c>
      <c r="M57" s="11">
        <v>2011</v>
      </c>
      <c r="N57" s="9" t="s">
        <v>1476</v>
      </c>
      <c r="O57" s="10" t="s">
        <v>1477</v>
      </c>
      <c r="P57" s="12" t="s">
        <v>38</v>
      </c>
      <c r="Q57" s="12" t="s">
        <v>1109</v>
      </c>
      <c r="R57" s="9" t="s">
        <v>1478</v>
      </c>
      <c r="S57" s="9" t="s">
        <v>1085</v>
      </c>
      <c r="T57" s="9" t="s">
        <v>1479</v>
      </c>
      <c r="U57" s="9" t="s">
        <v>1113</v>
      </c>
      <c r="V57" s="13" t="s">
        <v>1114</v>
      </c>
      <c r="W57" s="13" t="s">
        <v>1115</v>
      </c>
      <c r="X57" s="9" t="s">
        <v>993</v>
      </c>
      <c r="Y57" s="9" t="s">
        <v>1116</v>
      </c>
      <c r="Z57" s="9" t="s">
        <v>1480</v>
      </c>
      <c r="AA57" s="9" t="s">
        <v>1481</v>
      </c>
      <c r="AB57" s="9" t="s">
        <v>1482</v>
      </c>
      <c r="AC57" s="9" t="s">
        <v>48</v>
      </c>
      <c r="AD57" s="9" t="s">
        <v>48</v>
      </c>
      <c r="AE57"/>
    </row>
    <row r="58" spans="1:31">
      <c r="A58" s="16">
        <v>54</v>
      </c>
      <c r="B58" s="6" t="s">
        <v>1483</v>
      </c>
      <c r="C58" s="7"/>
      <c r="D58" s="8"/>
      <c r="E58" s="8"/>
      <c r="F58" s="9" t="s">
        <v>1484</v>
      </c>
      <c r="G58" s="9" t="s">
        <v>76</v>
      </c>
      <c r="H58" s="9" t="s">
        <v>51</v>
      </c>
      <c r="I58" s="10" t="s">
        <v>1485</v>
      </c>
      <c r="J58" s="15" t="s">
        <v>34</v>
      </c>
      <c r="K58" s="9" t="s">
        <v>1466</v>
      </c>
      <c r="L58" s="9" t="s">
        <v>1467</v>
      </c>
      <c r="M58" s="11">
        <v>2011</v>
      </c>
      <c r="N58" s="9" t="s">
        <v>1486</v>
      </c>
      <c r="O58" s="10"/>
      <c r="P58" s="12" t="s">
        <v>38</v>
      </c>
      <c r="Q58" s="12" t="s">
        <v>1109</v>
      </c>
      <c r="R58" s="9" t="s">
        <v>1487</v>
      </c>
      <c r="S58" s="9" t="s">
        <v>1488</v>
      </c>
      <c r="T58" s="9" t="s">
        <v>1489</v>
      </c>
      <c r="U58" s="9" t="s">
        <v>1113</v>
      </c>
      <c r="V58" s="13" t="s">
        <v>1114</v>
      </c>
      <c r="W58" s="13" t="s">
        <v>1115</v>
      </c>
      <c r="X58" s="9" t="s">
        <v>993</v>
      </c>
      <c r="Y58" s="9" t="s">
        <v>1116</v>
      </c>
      <c r="Z58" s="9" t="s">
        <v>1490</v>
      </c>
      <c r="AA58" s="9" t="s">
        <v>48</v>
      </c>
      <c r="AB58" s="9" t="s">
        <v>48</v>
      </c>
      <c r="AC58" s="9" t="s">
        <v>48</v>
      </c>
      <c r="AD58" s="9" t="s">
        <v>48</v>
      </c>
      <c r="AE58"/>
    </row>
    <row r="59" spans="1:31">
      <c r="A59" s="16">
        <v>55</v>
      </c>
      <c r="B59" s="6" t="s">
        <v>1491</v>
      </c>
      <c r="C59" s="7"/>
      <c r="D59" s="8"/>
      <c r="E59" s="8"/>
      <c r="F59" s="9" t="s">
        <v>1492</v>
      </c>
      <c r="G59" s="9" t="s">
        <v>76</v>
      </c>
      <c r="H59" s="9" t="s">
        <v>51</v>
      </c>
      <c r="I59" s="10" t="s">
        <v>1493</v>
      </c>
      <c r="J59" s="15" t="s">
        <v>982</v>
      </c>
      <c r="K59" s="9" t="s">
        <v>1466</v>
      </c>
      <c r="L59" s="9" t="s">
        <v>1467</v>
      </c>
      <c r="M59" s="11">
        <v>2016</v>
      </c>
      <c r="N59" s="9" t="s">
        <v>1494</v>
      </c>
      <c r="O59" s="9"/>
      <c r="P59" s="12" t="s">
        <v>38</v>
      </c>
      <c r="Q59" s="12" t="s">
        <v>1495</v>
      </c>
      <c r="R59" s="9" t="s">
        <v>1496</v>
      </c>
      <c r="S59" s="9"/>
      <c r="T59" s="9"/>
      <c r="U59" s="9"/>
      <c r="V59" s="13"/>
      <c r="W59" s="13"/>
      <c r="X59" s="9"/>
      <c r="Y59" s="9" t="s">
        <v>88</v>
      </c>
      <c r="Z59" s="9" t="s">
        <v>1497</v>
      </c>
      <c r="AA59" s="9" t="s">
        <v>48</v>
      </c>
      <c r="AB59" s="9" t="s">
        <v>48</v>
      </c>
      <c r="AC59" s="9" t="s">
        <v>48</v>
      </c>
      <c r="AD59" s="9" t="s">
        <v>48</v>
      </c>
      <c r="AE59"/>
    </row>
    <row r="60" spans="1:31">
      <c r="A60" s="16">
        <v>56</v>
      </c>
      <c r="B60" s="6" t="s">
        <v>1498</v>
      </c>
      <c r="C60" s="7"/>
      <c r="D60" s="8"/>
      <c r="E60" s="8"/>
      <c r="F60" s="9" t="s">
        <v>1499</v>
      </c>
      <c r="G60" s="9" t="s">
        <v>76</v>
      </c>
      <c r="H60" s="9" t="s">
        <v>51</v>
      </c>
      <c r="I60" s="10" t="s">
        <v>1500</v>
      </c>
      <c r="J60" s="15" t="s">
        <v>982</v>
      </c>
      <c r="K60" s="9" t="s">
        <v>1466</v>
      </c>
      <c r="L60" s="9" t="s">
        <v>1467</v>
      </c>
      <c r="M60" s="11">
        <v>42705</v>
      </c>
      <c r="N60" s="9" t="s">
        <v>1501</v>
      </c>
      <c r="O60" s="10" t="s">
        <v>1502</v>
      </c>
      <c r="P60" s="12" t="s">
        <v>56</v>
      </c>
      <c r="Q60" s="12" t="s">
        <v>57</v>
      </c>
      <c r="R60" s="9" t="s">
        <v>1503</v>
      </c>
      <c r="S60" s="9" t="s">
        <v>1003</v>
      </c>
      <c r="T60" s="9" t="s">
        <v>1504</v>
      </c>
      <c r="U60" s="9" t="s">
        <v>61</v>
      </c>
      <c r="V60" s="32" t="s">
        <v>1025</v>
      </c>
      <c r="W60" s="32" t="s">
        <v>62</v>
      </c>
      <c r="X60" s="9" t="s">
        <v>45</v>
      </c>
      <c r="Y60" s="9" t="s">
        <v>88</v>
      </c>
      <c r="Z60" s="9" t="s">
        <v>1505</v>
      </c>
      <c r="AA60" s="9" t="s">
        <v>48</v>
      </c>
      <c r="AB60" s="9" t="s">
        <v>48</v>
      </c>
      <c r="AC60" s="9" t="s">
        <v>48</v>
      </c>
      <c r="AD60" s="9" t="s">
        <v>48</v>
      </c>
      <c r="AE60"/>
    </row>
    <row r="61" spans="1:31">
      <c r="A61" s="16">
        <v>57</v>
      </c>
      <c r="B61" s="6" t="s">
        <v>1506</v>
      </c>
      <c r="C61" s="7"/>
      <c r="D61" s="8"/>
      <c r="E61" s="8"/>
      <c r="F61" s="9" t="s">
        <v>1507</v>
      </c>
      <c r="G61" s="9" t="s">
        <v>76</v>
      </c>
      <c r="H61" s="9" t="s">
        <v>51</v>
      </c>
      <c r="I61" s="10" t="s">
        <v>1508</v>
      </c>
      <c r="J61" s="15" t="s">
        <v>1374</v>
      </c>
      <c r="K61" s="9" t="s">
        <v>1466</v>
      </c>
      <c r="L61" s="9" t="s">
        <v>1467</v>
      </c>
      <c r="M61" s="11">
        <v>42705</v>
      </c>
      <c r="N61" s="9" t="s">
        <v>1509</v>
      </c>
      <c r="O61" s="10" t="s">
        <v>1510</v>
      </c>
      <c r="P61" s="12" t="s">
        <v>56</v>
      </c>
      <c r="Q61" s="12" t="s">
        <v>57</v>
      </c>
      <c r="R61" s="9" t="s">
        <v>1511</v>
      </c>
      <c r="S61" s="9" t="s">
        <v>1003</v>
      </c>
      <c r="T61" s="32" t="s">
        <v>1512</v>
      </c>
      <c r="U61" s="9" t="s">
        <v>61</v>
      </c>
      <c r="V61" s="32" t="s">
        <v>1025</v>
      </c>
      <c r="W61" s="32" t="s">
        <v>62</v>
      </c>
      <c r="X61" s="9" t="s">
        <v>45</v>
      </c>
      <c r="Y61" s="9" t="s">
        <v>88</v>
      </c>
      <c r="Z61" s="9" t="s">
        <v>1513</v>
      </c>
      <c r="AA61" s="9" t="s">
        <v>48</v>
      </c>
      <c r="AB61" s="9" t="s">
        <v>48</v>
      </c>
      <c r="AC61" s="9" t="s">
        <v>48</v>
      </c>
      <c r="AD61" s="9" t="s">
        <v>48</v>
      </c>
      <c r="AE61"/>
    </row>
    <row r="62" spans="1:31">
      <c r="A62" s="16">
        <v>58</v>
      </c>
      <c r="B62" s="6" t="s">
        <v>1514</v>
      </c>
      <c r="C62" s="7"/>
      <c r="D62" s="8"/>
      <c r="E62" s="8"/>
      <c r="F62" s="9" t="s">
        <v>1515</v>
      </c>
      <c r="G62" s="9" t="s">
        <v>76</v>
      </c>
      <c r="H62" s="9" t="s">
        <v>51</v>
      </c>
      <c r="I62" s="10" t="s">
        <v>1516</v>
      </c>
      <c r="J62" s="15" t="s">
        <v>982</v>
      </c>
      <c r="K62" s="10" t="s">
        <v>1466</v>
      </c>
      <c r="L62" s="9" t="s">
        <v>1467</v>
      </c>
      <c r="M62" s="11">
        <v>2011</v>
      </c>
      <c r="N62" s="9"/>
      <c r="O62" s="10" t="s">
        <v>1517</v>
      </c>
      <c r="P62" s="12" t="s">
        <v>38</v>
      </c>
      <c r="Q62" s="12" t="s">
        <v>1234</v>
      </c>
      <c r="R62" s="9" t="s">
        <v>1518</v>
      </c>
      <c r="S62" s="9" t="s">
        <v>1085</v>
      </c>
      <c r="T62" s="9" t="s">
        <v>1519</v>
      </c>
      <c r="U62" s="9" t="s">
        <v>1161</v>
      </c>
      <c r="V62" s="13" t="s">
        <v>1114</v>
      </c>
      <c r="W62" s="13" t="s">
        <v>1115</v>
      </c>
      <c r="X62" s="9" t="s">
        <v>45</v>
      </c>
      <c r="Y62" s="9" t="s">
        <v>1520</v>
      </c>
      <c r="Z62" s="9"/>
      <c r="AA62" s="9" t="s">
        <v>48</v>
      </c>
      <c r="AB62" s="9" t="s">
        <v>48</v>
      </c>
      <c r="AC62" s="9" t="s">
        <v>48</v>
      </c>
      <c r="AD62" s="9" t="s">
        <v>48</v>
      </c>
      <c r="AE62"/>
    </row>
    <row r="63" spans="1:31">
      <c r="A63" s="16">
        <v>59</v>
      </c>
      <c r="B63" s="6" t="s">
        <v>1521</v>
      </c>
      <c r="C63" s="7"/>
      <c r="D63" s="8"/>
      <c r="E63" s="8"/>
      <c r="F63" s="9" t="s">
        <v>1522</v>
      </c>
      <c r="G63" s="9" t="s">
        <v>76</v>
      </c>
      <c r="H63" s="9" t="s">
        <v>51</v>
      </c>
      <c r="I63" s="10" t="s">
        <v>1523</v>
      </c>
      <c r="J63" s="15" t="s">
        <v>982</v>
      </c>
      <c r="K63" s="9" t="s">
        <v>1524</v>
      </c>
      <c r="L63" s="9" t="s">
        <v>1525</v>
      </c>
      <c r="M63" s="11">
        <v>2003</v>
      </c>
      <c r="N63" s="9" t="s">
        <v>1526</v>
      </c>
      <c r="O63" s="9" t="s">
        <v>1527</v>
      </c>
      <c r="P63" s="12" t="s">
        <v>38</v>
      </c>
      <c r="Q63" s="12" t="s">
        <v>1528</v>
      </c>
      <c r="R63" s="9" t="s">
        <v>1529</v>
      </c>
      <c r="S63" s="9" t="s">
        <v>1085</v>
      </c>
      <c r="T63" s="9" t="s">
        <v>1530</v>
      </c>
      <c r="U63" s="9" t="s">
        <v>1087</v>
      </c>
      <c r="V63" s="13" t="s">
        <v>1177</v>
      </c>
      <c r="W63" s="13" t="s">
        <v>1333</v>
      </c>
      <c r="X63" s="9" t="s">
        <v>1347</v>
      </c>
      <c r="Y63" s="9" t="s">
        <v>1531</v>
      </c>
      <c r="Z63" s="9" t="s">
        <v>1532</v>
      </c>
      <c r="AA63" s="9" t="s">
        <v>1533</v>
      </c>
      <c r="AB63" s="9" t="s">
        <v>1534</v>
      </c>
      <c r="AC63" s="9" t="s">
        <v>48</v>
      </c>
      <c r="AD63" s="9" t="s">
        <v>48</v>
      </c>
      <c r="AE63"/>
    </row>
    <row r="64" spans="1:31">
      <c r="A64" s="16">
        <v>60</v>
      </c>
      <c r="B64" s="6" t="s">
        <v>1535</v>
      </c>
      <c r="C64" s="6" t="s">
        <v>1536</v>
      </c>
      <c r="D64" s="16">
        <v>43</v>
      </c>
      <c r="E64" s="16" t="s">
        <v>1537</v>
      </c>
      <c r="F64" s="9" t="s">
        <v>1538</v>
      </c>
      <c r="G64" s="9" t="s">
        <v>76</v>
      </c>
      <c r="H64" s="9" t="s">
        <v>51</v>
      </c>
      <c r="I64" s="10" t="s">
        <v>1539</v>
      </c>
      <c r="J64" s="15" t="s">
        <v>982</v>
      </c>
      <c r="K64" s="9" t="s">
        <v>1524</v>
      </c>
      <c r="L64" s="9" t="s">
        <v>1540</v>
      </c>
      <c r="M64" s="11">
        <v>2010</v>
      </c>
      <c r="N64" s="9" t="s">
        <v>1541</v>
      </c>
      <c r="O64" s="9" t="s">
        <v>1542</v>
      </c>
      <c r="P64" s="12" t="s">
        <v>38</v>
      </c>
      <c r="Q64" s="12" t="s">
        <v>1109</v>
      </c>
      <c r="R64" s="9" t="s">
        <v>1543</v>
      </c>
      <c r="S64" s="9" t="s">
        <v>1085</v>
      </c>
      <c r="T64" s="9" t="s">
        <v>1544</v>
      </c>
      <c r="U64" s="9" t="s">
        <v>1161</v>
      </c>
      <c r="V64" s="13" t="s">
        <v>1545</v>
      </c>
      <c r="W64" s="13" t="s">
        <v>1546</v>
      </c>
      <c r="X64" s="9" t="s">
        <v>1267</v>
      </c>
      <c r="Y64" s="9" t="s">
        <v>1152</v>
      </c>
      <c r="Z64" s="9" t="s">
        <v>1547</v>
      </c>
      <c r="AA64" s="9" t="s">
        <v>48</v>
      </c>
      <c r="AB64" s="9" t="s">
        <v>48</v>
      </c>
      <c r="AC64" s="9" t="s">
        <v>48</v>
      </c>
      <c r="AD64" s="9" t="s">
        <v>48</v>
      </c>
      <c r="AE64"/>
    </row>
    <row r="65" spans="1:31">
      <c r="A65" s="16">
        <v>61</v>
      </c>
      <c r="B65" s="6" t="s">
        <v>1548</v>
      </c>
      <c r="C65" s="7"/>
      <c r="D65" s="8"/>
      <c r="E65" s="8"/>
      <c r="F65" s="9" t="s">
        <v>1549</v>
      </c>
      <c r="G65" s="9" t="s">
        <v>76</v>
      </c>
      <c r="H65" s="9" t="s">
        <v>51</v>
      </c>
      <c r="I65" s="10" t="s">
        <v>451</v>
      </c>
      <c r="J65" s="15" t="s">
        <v>34</v>
      </c>
      <c r="K65" s="9" t="s">
        <v>1524</v>
      </c>
      <c r="L65" s="9" t="s">
        <v>1525</v>
      </c>
      <c r="M65" s="11">
        <v>42705</v>
      </c>
      <c r="N65" s="9" t="s">
        <v>1550</v>
      </c>
      <c r="O65" s="10" t="s">
        <v>1551</v>
      </c>
      <c r="P65" s="12" t="s">
        <v>56</v>
      </c>
      <c r="Q65" s="12" t="s">
        <v>57</v>
      </c>
      <c r="R65" s="9" t="s">
        <v>1552</v>
      </c>
      <c r="S65" s="9" t="s">
        <v>1003</v>
      </c>
      <c r="T65" s="13" t="s">
        <v>1553</v>
      </c>
      <c r="U65" s="9" t="s">
        <v>61</v>
      </c>
      <c r="V65" s="32" t="s">
        <v>1025</v>
      </c>
      <c r="W65" s="32" t="s">
        <v>62</v>
      </c>
      <c r="X65" s="9" t="s">
        <v>45</v>
      </c>
      <c r="Y65" s="9" t="s">
        <v>88</v>
      </c>
      <c r="Z65" s="13" t="s">
        <v>1554</v>
      </c>
      <c r="AA65" s="9" t="s">
        <v>48</v>
      </c>
      <c r="AB65" s="9" t="s">
        <v>48</v>
      </c>
      <c r="AC65" s="9" t="s">
        <v>48</v>
      </c>
      <c r="AD65" s="9" t="s">
        <v>48</v>
      </c>
      <c r="AE65"/>
    </row>
    <row r="66" spans="1:31">
      <c r="A66" s="16">
        <v>62</v>
      </c>
      <c r="B66" s="22" t="s">
        <v>1555</v>
      </c>
      <c r="C66" s="6"/>
      <c r="D66" s="16"/>
      <c r="E66" s="16"/>
      <c r="F66" s="10" t="s">
        <v>1556</v>
      </c>
      <c r="G66" s="10" t="s">
        <v>76</v>
      </c>
      <c r="H66" s="10" t="s">
        <v>32</v>
      </c>
      <c r="I66" s="10" t="s">
        <v>725</v>
      </c>
      <c r="J66" s="15" t="s">
        <v>982</v>
      </c>
      <c r="K66" s="10" t="s">
        <v>1524</v>
      </c>
      <c r="L66" s="10" t="s">
        <v>1525</v>
      </c>
      <c r="M66" s="11">
        <v>43289</v>
      </c>
      <c r="N66" s="10" t="s">
        <v>1557</v>
      </c>
      <c r="O66" s="10" t="s">
        <v>1558</v>
      </c>
      <c r="P66" s="10" t="s">
        <v>56</v>
      </c>
      <c r="Q66" s="10" t="s">
        <v>146</v>
      </c>
      <c r="R66" s="10" t="s">
        <v>147</v>
      </c>
      <c r="S66" s="10" t="s">
        <v>1062</v>
      </c>
      <c r="T66" s="10" t="s">
        <v>148</v>
      </c>
      <c r="U66" s="10" t="s">
        <v>106</v>
      </c>
      <c r="V66" s="10" t="s">
        <v>1221</v>
      </c>
      <c r="W66" s="10" t="s">
        <v>149</v>
      </c>
      <c r="X66" s="10" t="s">
        <v>98</v>
      </c>
      <c r="Y66" s="10" t="s">
        <v>88</v>
      </c>
      <c r="Z66" s="10" t="s">
        <v>150</v>
      </c>
      <c r="AA66" s="10" t="s">
        <v>364</v>
      </c>
      <c r="AB66" s="10" t="s">
        <v>364</v>
      </c>
      <c r="AC66" s="10" t="s">
        <v>364</v>
      </c>
      <c r="AD66" s="10" t="s">
        <v>364</v>
      </c>
      <c r="AE66"/>
    </row>
    <row r="67" spans="1:31">
      <c r="A67" s="16">
        <v>63</v>
      </c>
      <c r="B67" s="6" t="s">
        <v>1559</v>
      </c>
      <c r="C67" s="7"/>
      <c r="D67" s="8"/>
      <c r="E67" s="8"/>
      <c r="F67" s="9" t="s">
        <v>1560</v>
      </c>
      <c r="G67" s="9" t="s">
        <v>76</v>
      </c>
      <c r="H67" s="9" t="s">
        <v>51</v>
      </c>
      <c r="I67" s="10" t="s">
        <v>1561</v>
      </c>
      <c r="J67" s="15" t="s">
        <v>34</v>
      </c>
      <c r="K67" s="9" t="s">
        <v>1562</v>
      </c>
      <c r="L67" s="9" t="s">
        <v>1352</v>
      </c>
      <c r="M67" s="11">
        <v>42705</v>
      </c>
      <c r="N67" s="9" t="s">
        <v>1563</v>
      </c>
      <c r="O67" s="10" t="s">
        <v>1564</v>
      </c>
      <c r="P67" s="12" t="s">
        <v>56</v>
      </c>
      <c r="Q67" s="12" t="s">
        <v>57</v>
      </c>
      <c r="R67" s="9" t="s">
        <v>1565</v>
      </c>
      <c r="S67" s="9" t="s">
        <v>1003</v>
      </c>
      <c r="T67" s="9" t="s">
        <v>1566</v>
      </c>
      <c r="U67" s="9" t="s">
        <v>61</v>
      </c>
      <c r="V67" s="32" t="s">
        <v>1025</v>
      </c>
      <c r="W67" s="32" t="s">
        <v>62</v>
      </c>
      <c r="X67" s="9" t="s">
        <v>45</v>
      </c>
      <c r="Y67" s="9" t="s">
        <v>88</v>
      </c>
      <c r="Z67" s="9" t="s">
        <v>699</v>
      </c>
      <c r="AA67" s="9" t="s">
        <v>48</v>
      </c>
      <c r="AB67" s="9" t="s">
        <v>48</v>
      </c>
      <c r="AC67" s="9" t="s">
        <v>48</v>
      </c>
      <c r="AD67" s="9" t="s">
        <v>48</v>
      </c>
      <c r="AE67"/>
    </row>
    <row r="68" spans="1:31">
      <c r="A68" s="16">
        <v>64</v>
      </c>
      <c r="B68" s="6" t="s">
        <v>1567</v>
      </c>
      <c r="C68" s="7"/>
      <c r="D68" s="8"/>
      <c r="E68" s="8"/>
      <c r="F68" s="9" t="s">
        <v>1568</v>
      </c>
      <c r="G68" s="9" t="s">
        <v>76</v>
      </c>
      <c r="H68" s="9" t="s">
        <v>51</v>
      </c>
      <c r="I68" s="10" t="s">
        <v>1569</v>
      </c>
      <c r="J68" s="15" t="s">
        <v>34</v>
      </c>
      <c r="K68" s="9" t="s">
        <v>1562</v>
      </c>
      <c r="L68" s="9" t="s">
        <v>1352</v>
      </c>
      <c r="M68" s="11">
        <v>42705</v>
      </c>
      <c r="N68" s="9" t="s">
        <v>1570</v>
      </c>
      <c r="O68" s="10" t="s">
        <v>1571</v>
      </c>
      <c r="P68" s="12" t="s">
        <v>56</v>
      </c>
      <c r="Q68" s="12" t="s">
        <v>57</v>
      </c>
      <c r="R68" s="9" t="s">
        <v>1572</v>
      </c>
      <c r="S68" s="9" t="s">
        <v>1003</v>
      </c>
      <c r="T68" s="9" t="s">
        <v>1573</v>
      </c>
      <c r="U68" s="9" t="s">
        <v>61</v>
      </c>
      <c r="V68" s="32" t="s">
        <v>1025</v>
      </c>
      <c r="W68" s="32" t="s">
        <v>62</v>
      </c>
      <c r="X68" s="9" t="s">
        <v>45</v>
      </c>
      <c r="Y68" s="9" t="s">
        <v>88</v>
      </c>
      <c r="Z68" s="9" t="s">
        <v>1574</v>
      </c>
      <c r="AA68" s="9" t="s">
        <v>48</v>
      </c>
      <c r="AB68" s="9" t="s">
        <v>48</v>
      </c>
      <c r="AC68" s="9" t="s">
        <v>48</v>
      </c>
      <c r="AD68" s="9" t="s">
        <v>48</v>
      </c>
      <c r="AE68"/>
    </row>
    <row r="69" spans="1:31">
      <c r="A69" s="16">
        <v>65</v>
      </c>
      <c r="B69" s="5" t="s">
        <v>1575</v>
      </c>
      <c r="F69" t="s">
        <v>1576</v>
      </c>
      <c r="G69" s="2" t="s">
        <v>76</v>
      </c>
      <c r="H69" s="10" t="s">
        <v>32</v>
      </c>
      <c r="I69" s="2" t="s">
        <v>1577</v>
      </c>
      <c r="J69" s="14" t="s">
        <v>1243</v>
      </c>
      <c r="K69" s="2" t="s">
        <v>1562</v>
      </c>
      <c r="L69" s="9" t="s">
        <v>1352</v>
      </c>
      <c r="M69" s="3">
        <v>43395</v>
      </c>
      <c r="N69" s="2" t="s">
        <v>1578</v>
      </c>
      <c r="O69" s="2" t="s">
        <v>1579</v>
      </c>
      <c r="P69" s="2" t="s">
        <v>38</v>
      </c>
      <c r="Q69" s="10" t="s">
        <v>67</v>
      </c>
      <c r="R69" s="2" t="s">
        <v>1580</v>
      </c>
      <c r="S69" s="10" t="s">
        <v>1062</v>
      </c>
      <c r="T69" s="2" t="s">
        <v>1581</v>
      </c>
      <c r="U69" s="10" t="s">
        <v>70</v>
      </c>
      <c r="V69" s="10" t="s">
        <v>1025</v>
      </c>
      <c r="W69" s="10" t="s">
        <v>62</v>
      </c>
      <c r="X69" s="10" t="s">
        <v>87</v>
      </c>
      <c r="Y69" s="10" t="s">
        <v>88</v>
      </c>
      <c r="AA69" s="10" t="s">
        <v>364</v>
      </c>
      <c r="AB69" s="10" t="s">
        <v>364</v>
      </c>
      <c r="AC69" s="10" t="s">
        <v>364</v>
      </c>
      <c r="AD69" s="10" t="s">
        <v>364</v>
      </c>
      <c r="AE69"/>
    </row>
    <row r="70" spans="1:31">
      <c r="A70" s="16">
        <v>66</v>
      </c>
      <c r="B70" s="6" t="s">
        <v>1582</v>
      </c>
      <c r="C70" s="7"/>
      <c r="D70" s="8"/>
      <c r="E70" s="8"/>
      <c r="F70" s="13" t="s">
        <v>1583</v>
      </c>
      <c r="G70" s="13" t="s">
        <v>76</v>
      </c>
      <c r="H70" s="9" t="s">
        <v>51</v>
      </c>
      <c r="I70" s="10" t="s">
        <v>1584</v>
      </c>
      <c r="J70" s="15" t="s">
        <v>982</v>
      </c>
      <c r="K70" s="9" t="s">
        <v>199</v>
      </c>
      <c r="L70" s="9" t="s">
        <v>984</v>
      </c>
      <c r="M70" s="11">
        <v>2016</v>
      </c>
      <c r="N70" s="9" t="s">
        <v>1585</v>
      </c>
      <c r="O70" s="9"/>
      <c r="P70" s="12" t="s">
        <v>38</v>
      </c>
      <c r="Q70" s="12" t="s">
        <v>1586</v>
      </c>
      <c r="R70" s="9" t="s">
        <v>1587</v>
      </c>
      <c r="S70" s="9" t="s">
        <v>1085</v>
      </c>
      <c r="T70" s="9" t="s">
        <v>1588</v>
      </c>
      <c r="U70" s="9" t="s">
        <v>1589</v>
      </c>
      <c r="V70" s="13" t="s">
        <v>1114</v>
      </c>
      <c r="W70" s="13" t="s">
        <v>1590</v>
      </c>
      <c r="X70" s="9" t="s">
        <v>1370</v>
      </c>
      <c r="Y70" s="9" t="s">
        <v>1591</v>
      </c>
      <c r="Z70" s="9" t="s">
        <v>1592</v>
      </c>
      <c r="AA70" s="9" t="s">
        <v>48</v>
      </c>
      <c r="AB70" s="9" t="s">
        <v>48</v>
      </c>
      <c r="AC70" s="9" t="s">
        <v>48</v>
      </c>
      <c r="AD70" s="9" t="s">
        <v>48</v>
      </c>
      <c r="AE70"/>
    </row>
    <row r="71" spans="1:31">
      <c r="A71" s="16">
        <v>67</v>
      </c>
      <c r="B71" s="6" t="s">
        <v>1593</v>
      </c>
      <c r="C71" s="7"/>
      <c r="D71" s="8"/>
      <c r="E71" s="16"/>
      <c r="F71" s="9" t="s">
        <v>1594</v>
      </c>
      <c r="G71" s="9" t="s">
        <v>76</v>
      </c>
      <c r="H71" s="9" t="s">
        <v>51</v>
      </c>
      <c r="I71" s="10" t="s">
        <v>437</v>
      </c>
      <c r="J71" s="15" t="s">
        <v>982</v>
      </c>
      <c r="K71" s="9" t="s">
        <v>199</v>
      </c>
      <c r="L71" s="9" t="s">
        <v>984</v>
      </c>
      <c r="M71" s="11">
        <v>2013</v>
      </c>
      <c r="N71" s="9" t="s">
        <v>1595</v>
      </c>
      <c r="O71" s="9" t="s">
        <v>1596</v>
      </c>
      <c r="P71" s="12" t="s">
        <v>38</v>
      </c>
      <c r="Q71" s="12" t="s">
        <v>987</v>
      </c>
      <c r="R71" s="9" t="s">
        <v>1597</v>
      </c>
      <c r="S71" s="9" t="s">
        <v>989</v>
      </c>
      <c r="T71" s="9" t="s">
        <v>1004</v>
      </c>
      <c r="U71" s="9" t="s">
        <v>991</v>
      </c>
      <c r="V71" s="13" t="s">
        <v>1103</v>
      </c>
      <c r="W71" s="13" t="s">
        <v>44</v>
      </c>
      <c r="X71" s="9" t="s">
        <v>45</v>
      </c>
      <c r="Y71" s="9" t="s">
        <v>46</v>
      </c>
      <c r="Z71" s="9" t="s">
        <v>1598</v>
      </c>
      <c r="AA71" s="9" t="s">
        <v>48</v>
      </c>
      <c r="AB71" s="9" t="s">
        <v>48</v>
      </c>
      <c r="AC71" s="9" t="s">
        <v>48</v>
      </c>
      <c r="AD71" s="9" t="s">
        <v>48</v>
      </c>
      <c r="AE71"/>
    </row>
    <row r="72" spans="1:31">
      <c r="A72" s="16">
        <v>68</v>
      </c>
      <c r="B72" s="6" t="s">
        <v>1599</v>
      </c>
      <c r="C72" s="27" t="s">
        <v>1600</v>
      </c>
      <c r="D72" s="28" t="s">
        <v>1601</v>
      </c>
      <c r="E72" s="8" t="s">
        <v>1602</v>
      </c>
      <c r="F72" s="9" t="s">
        <v>1603</v>
      </c>
      <c r="G72" s="9" t="s">
        <v>76</v>
      </c>
      <c r="H72" s="9" t="s">
        <v>51</v>
      </c>
      <c r="I72" s="10" t="s">
        <v>456</v>
      </c>
      <c r="J72" s="15" t="s">
        <v>982</v>
      </c>
      <c r="K72" s="9" t="s">
        <v>199</v>
      </c>
      <c r="L72" s="9" t="s">
        <v>984</v>
      </c>
      <c r="M72" s="11">
        <v>42705</v>
      </c>
      <c r="N72" s="9" t="s">
        <v>1604</v>
      </c>
      <c r="O72" s="9" t="s">
        <v>1605</v>
      </c>
      <c r="P72" s="12" t="s">
        <v>56</v>
      </c>
      <c r="Q72" s="12" t="s">
        <v>57</v>
      </c>
      <c r="R72" s="9" t="s">
        <v>1606</v>
      </c>
      <c r="S72" s="9" t="s">
        <v>1003</v>
      </c>
      <c r="T72" s="32" t="s">
        <v>1607</v>
      </c>
      <c r="U72" s="9" t="s">
        <v>61</v>
      </c>
      <c r="V72" s="32" t="s">
        <v>1025</v>
      </c>
      <c r="W72" s="32" t="s">
        <v>62</v>
      </c>
      <c r="X72" s="9" t="s">
        <v>45</v>
      </c>
      <c r="Y72" s="9" t="s">
        <v>88</v>
      </c>
      <c r="Z72" s="32" t="s">
        <v>1608</v>
      </c>
      <c r="AA72" s="9" t="s">
        <v>48</v>
      </c>
      <c r="AB72" s="9" t="s">
        <v>48</v>
      </c>
      <c r="AC72" s="9" t="s">
        <v>48</v>
      </c>
      <c r="AD72" s="9" t="s">
        <v>48</v>
      </c>
      <c r="AE72"/>
    </row>
    <row r="73" spans="1:31">
      <c r="A73" s="16">
        <v>69</v>
      </c>
      <c r="B73" s="6" t="s">
        <v>1609</v>
      </c>
      <c r="C73" s="27" t="s">
        <v>1610</v>
      </c>
      <c r="D73" s="28" t="s">
        <v>1611</v>
      </c>
      <c r="E73" s="8" t="s">
        <v>1612</v>
      </c>
      <c r="F73" s="9" t="s">
        <v>1613</v>
      </c>
      <c r="G73" s="9" t="s">
        <v>76</v>
      </c>
      <c r="H73" s="9" t="s">
        <v>51</v>
      </c>
      <c r="I73" s="10" t="s">
        <v>1614</v>
      </c>
      <c r="J73" s="15" t="s">
        <v>982</v>
      </c>
      <c r="K73" s="9" t="s">
        <v>199</v>
      </c>
      <c r="L73" s="9" t="s">
        <v>984</v>
      </c>
      <c r="M73" s="11">
        <v>42705</v>
      </c>
      <c r="N73" s="9" t="s">
        <v>1615</v>
      </c>
      <c r="O73" s="9" t="s">
        <v>1616</v>
      </c>
      <c r="P73" s="12" t="s">
        <v>56</v>
      </c>
      <c r="Q73" s="12" t="s">
        <v>57</v>
      </c>
      <c r="R73" s="9" t="s">
        <v>1617</v>
      </c>
      <c r="S73" s="9" t="s">
        <v>1003</v>
      </c>
      <c r="T73" s="32" t="s">
        <v>1618</v>
      </c>
      <c r="U73" s="9" t="s">
        <v>61</v>
      </c>
      <c r="V73" s="32" t="s">
        <v>1025</v>
      </c>
      <c r="W73" s="32" t="s">
        <v>62</v>
      </c>
      <c r="X73" s="9" t="s">
        <v>45</v>
      </c>
      <c r="Y73" s="9" t="s">
        <v>88</v>
      </c>
      <c r="Z73" s="32" t="s">
        <v>1619</v>
      </c>
      <c r="AA73" s="9" t="s">
        <v>48</v>
      </c>
      <c r="AB73" s="9" t="s">
        <v>48</v>
      </c>
      <c r="AC73" s="9" t="s">
        <v>48</v>
      </c>
      <c r="AD73" s="9" t="s">
        <v>48</v>
      </c>
      <c r="AE73"/>
    </row>
    <row r="74" spans="1:31">
      <c r="A74" s="16">
        <v>70</v>
      </c>
      <c r="B74" s="5" t="s">
        <v>1620</v>
      </c>
      <c r="F74" s="2" t="s">
        <v>1018</v>
      </c>
      <c r="G74" s="2" t="s">
        <v>76</v>
      </c>
      <c r="H74" s="2" t="s">
        <v>32</v>
      </c>
      <c r="I74" s="2" t="s">
        <v>1621</v>
      </c>
      <c r="J74" s="14" t="s">
        <v>982</v>
      </c>
      <c r="K74" s="2" t="s">
        <v>199</v>
      </c>
      <c r="L74" s="2" t="s">
        <v>984</v>
      </c>
      <c r="M74" s="3">
        <v>43581</v>
      </c>
      <c r="N74" s="2" t="s">
        <v>200</v>
      </c>
      <c r="O74" s="2" t="s">
        <v>201</v>
      </c>
      <c r="P74" s="2" t="s">
        <v>38</v>
      </c>
      <c r="Q74" s="2" t="s">
        <v>202</v>
      </c>
      <c r="R74" t="s">
        <v>203</v>
      </c>
      <c r="S74" s="10" t="s">
        <v>1062</v>
      </c>
      <c r="T74" s="2" t="s">
        <v>171</v>
      </c>
      <c r="U74" s="2" t="s">
        <v>204</v>
      </c>
      <c r="V74" s="10" t="s">
        <v>1622</v>
      </c>
      <c r="W74" s="2" t="s">
        <v>86</v>
      </c>
      <c r="X74" s="2" t="s">
        <v>45</v>
      </c>
      <c r="Y74" s="10" t="s">
        <v>205</v>
      </c>
      <c r="Z74" t="s">
        <v>206</v>
      </c>
      <c r="AA74" s="2" t="s">
        <v>48</v>
      </c>
      <c r="AB74" s="2" t="s">
        <v>364</v>
      </c>
      <c r="AC74" s="2" t="s">
        <v>48</v>
      </c>
      <c r="AD74" s="2" t="s">
        <v>364</v>
      </c>
      <c r="AE74"/>
    </row>
    <row r="75" spans="1:31">
      <c r="A75" s="16">
        <v>71</v>
      </c>
      <c r="B75" s="22" t="s">
        <v>1623</v>
      </c>
      <c r="C75" s="6" t="s">
        <v>1536</v>
      </c>
      <c r="D75" s="16">
        <v>25</v>
      </c>
      <c r="E75" s="16" t="s">
        <v>1624</v>
      </c>
      <c r="F75" s="10" t="s">
        <v>1625</v>
      </c>
      <c r="G75" s="10" t="s">
        <v>76</v>
      </c>
      <c r="H75" s="9" t="s">
        <v>51</v>
      </c>
      <c r="I75" s="10" t="s">
        <v>1626</v>
      </c>
      <c r="J75" s="15" t="s">
        <v>982</v>
      </c>
      <c r="K75" s="10" t="s">
        <v>1627</v>
      </c>
      <c r="L75" s="10" t="s">
        <v>1628</v>
      </c>
      <c r="M75" s="11">
        <v>42921</v>
      </c>
      <c r="N75" s="10" t="s">
        <v>1629</v>
      </c>
      <c r="O75" s="10" t="s">
        <v>1630</v>
      </c>
      <c r="P75" s="10" t="s">
        <v>335</v>
      </c>
      <c r="Q75" s="10" t="s">
        <v>1631</v>
      </c>
      <c r="R75" s="10" t="s">
        <v>1632</v>
      </c>
      <c r="S75" s="10" t="s">
        <v>1633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/>
    </row>
    <row r="76" spans="1:31">
      <c r="A76" s="16">
        <v>72</v>
      </c>
      <c r="B76" s="22" t="s">
        <v>1634</v>
      </c>
      <c r="C76" s="6" t="s">
        <v>1635</v>
      </c>
      <c r="D76" s="16">
        <v>19</v>
      </c>
      <c r="E76" s="16" t="s">
        <v>1636</v>
      </c>
      <c r="F76" s="10" t="s">
        <v>1637</v>
      </c>
      <c r="G76" s="10" t="s">
        <v>76</v>
      </c>
      <c r="H76" s="9" t="s">
        <v>51</v>
      </c>
      <c r="I76" s="10" t="s">
        <v>1626</v>
      </c>
      <c r="J76" s="15" t="s">
        <v>982</v>
      </c>
      <c r="K76" s="10" t="s">
        <v>1627</v>
      </c>
      <c r="L76" s="10" t="s">
        <v>1628</v>
      </c>
      <c r="M76" s="11">
        <v>42921</v>
      </c>
      <c r="N76" s="10" t="s">
        <v>1638</v>
      </c>
      <c r="O76" s="10" t="s">
        <v>1639</v>
      </c>
      <c r="P76" s="10" t="s">
        <v>38</v>
      </c>
      <c r="Q76" s="10" t="s">
        <v>1640</v>
      </c>
      <c r="R76" s="10" t="s">
        <v>1641</v>
      </c>
      <c r="S76" s="9" t="s">
        <v>1003</v>
      </c>
      <c r="T76" s="10"/>
      <c r="U76" s="9" t="s">
        <v>61</v>
      </c>
      <c r="V76" s="10" t="s">
        <v>1642</v>
      </c>
      <c r="W76" s="10" t="s">
        <v>62</v>
      </c>
      <c r="X76" s="10" t="s">
        <v>98</v>
      </c>
      <c r="Y76" s="9" t="s">
        <v>48</v>
      </c>
      <c r="Z76" s="9" t="s">
        <v>48</v>
      </c>
      <c r="AA76" s="10" t="s">
        <v>1643</v>
      </c>
      <c r="AB76" s="10" t="s">
        <v>48</v>
      </c>
      <c r="AC76" s="9" t="s">
        <v>48</v>
      </c>
      <c r="AD76" s="9" t="s">
        <v>48</v>
      </c>
      <c r="AE76"/>
    </row>
    <row r="77" spans="1:31">
      <c r="A77" s="16">
        <v>73</v>
      </c>
      <c r="B77" s="22" t="s">
        <v>1644</v>
      </c>
      <c r="C77" s="6" t="s">
        <v>1635</v>
      </c>
      <c r="D77" s="16">
        <v>16</v>
      </c>
      <c r="E77" s="16" t="s">
        <v>1645</v>
      </c>
      <c r="F77" s="10" t="s">
        <v>1646</v>
      </c>
      <c r="G77" s="10" t="s">
        <v>76</v>
      </c>
      <c r="H77" s="9" t="s">
        <v>51</v>
      </c>
      <c r="I77" s="10" t="s">
        <v>1626</v>
      </c>
      <c r="J77" s="15" t="s">
        <v>982</v>
      </c>
      <c r="K77" s="10" t="s">
        <v>1627</v>
      </c>
      <c r="L77" s="10" t="s">
        <v>1628</v>
      </c>
      <c r="M77" s="11">
        <v>42941</v>
      </c>
      <c r="N77" s="10"/>
      <c r="O77" s="10" t="s">
        <v>1647</v>
      </c>
      <c r="P77" s="10" t="s">
        <v>335</v>
      </c>
      <c r="Q77" s="10" t="s">
        <v>1631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1" s="2" customFormat="1">
      <c r="A78" s="16">
        <v>74</v>
      </c>
      <c r="B78" s="22" t="s">
        <v>1648</v>
      </c>
      <c r="C78" s="6"/>
      <c r="D78" s="16"/>
      <c r="E78" s="16"/>
      <c r="F78" s="10" t="s">
        <v>1018</v>
      </c>
      <c r="G78" s="10" t="s">
        <v>76</v>
      </c>
      <c r="H78" s="9" t="s">
        <v>51</v>
      </c>
      <c r="I78" s="10" t="s">
        <v>1649</v>
      </c>
      <c r="J78" s="15" t="s">
        <v>982</v>
      </c>
      <c r="K78" s="10" t="s">
        <v>1627</v>
      </c>
      <c r="L78" s="10" t="s">
        <v>1628</v>
      </c>
      <c r="M78" s="11">
        <v>43626</v>
      </c>
      <c r="N78" s="10" t="s">
        <v>1650</v>
      </c>
      <c r="O78" s="10"/>
      <c r="P78" s="10" t="s">
        <v>56</v>
      </c>
      <c r="Q78" s="10" t="s">
        <v>1651</v>
      </c>
      <c r="R78" s="10" t="s">
        <v>1652</v>
      </c>
      <c r="S78" s="10" t="s">
        <v>1062</v>
      </c>
      <c r="T78" s="10"/>
      <c r="U78" s="2" t="s">
        <v>204</v>
      </c>
      <c r="V78" s="10"/>
      <c r="W78" s="10" t="s">
        <v>1653</v>
      </c>
      <c r="X78" s="10" t="s">
        <v>1654</v>
      </c>
      <c r="Y78" s="10" t="s">
        <v>48</v>
      </c>
      <c r="Z78" s="10" t="s">
        <v>48</v>
      </c>
      <c r="AA78" s="10" t="s">
        <v>48</v>
      </c>
      <c r="AB78" s="10" t="s">
        <v>48</v>
      </c>
      <c r="AC78" s="10" t="s">
        <v>48</v>
      </c>
      <c r="AD78" s="10" t="s">
        <v>48</v>
      </c>
    </row>
    <row r="79" spans="1:31" s="2" customFormat="1">
      <c r="A79" s="16">
        <v>75</v>
      </c>
      <c r="B79" s="6" t="s">
        <v>1655</v>
      </c>
      <c r="C79" s="6">
        <v>11.4</v>
      </c>
      <c r="D79" s="16">
        <v>27</v>
      </c>
      <c r="E79" s="8" t="s">
        <v>1656</v>
      </c>
      <c r="F79" s="9" t="s">
        <v>1657</v>
      </c>
      <c r="G79" s="9" t="s">
        <v>76</v>
      </c>
      <c r="H79" s="9" t="s">
        <v>51</v>
      </c>
      <c r="I79" s="10" t="s">
        <v>1658</v>
      </c>
      <c r="J79" s="15" t="s">
        <v>982</v>
      </c>
      <c r="K79" s="9" t="s">
        <v>1659</v>
      </c>
      <c r="L79" s="9" t="s">
        <v>1660</v>
      </c>
      <c r="M79" s="11">
        <v>2009</v>
      </c>
      <c r="N79" s="9"/>
      <c r="O79" s="9" t="s">
        <v>1661</v>
      </c>
      <c r="P79" s="12" t="s">
        <v>1001</v>
      </c>
      <c r="Q79" s="12" t="s">
        <v>1158</v>
      </c>
      <c r="R79" s="9" t="s">
        <v>1662</v>
      </c>
      <c r="S79" s="9" t="s">
        <v>1663</v>
      </c>
      <c r="T79" s="9" t="s">
        <v>1664</v>
      </c>
      <c r="U79" s="9" t="s">
        <v>1665</v>
      </c>
      <c r="V79" s="13" t="s">
        <v>1187</v>
      </c>
      <c r="W79" s="13" t="s">
        <v>1546</v>
      </c>
      <c r="X79" s="9" t="s">
        <v>1267</v>
      </c>
      <c r="Y79" s="9" t="s">
        <v>1152</v>
      </c>
      <c r="Z79" s="9" t="s">
        <v>1666</v>
      </c>
      <c r="AA79" s="9" t="s">
        <v>1667</v>
      </c>
      <c r="AB79" s="9" t="s">
        <v>48</v>
      </c>
      <c r="AC79" s="9" t="s">
        <v>48</v>
      </c>
      <c r="AD79" s="9" t="s">
        <v>48</v>
      </c>
      <c r="AE79"/>
    </row>
    <row r="80" spans="1:31">
      <c r="A80" s="16">
        <v>76</v>
      </c>
      <c r="B80" s="6" t="s">
        <v>1668</v>
      </c>
      <c r="C80" s="6" t="s">
        <v>1669</v>
      </c>
      <c r="D80" s="16">
        <v>8</v>
      </c>
      <c r="E80" s="16" t="s">
        <v>1434</v>
      </c>
      <c r="F80" s="9" t="s">
        <v>1670</v>
      </c>
      <c r="G80" s="9" t="s">
        <v>76</v>
      </c>
      <c r="H80" s="9" t="s">
        <v>51</v>
      </c>
      <c r="I80" s="10" t="s">
        <v>1671</v>
      </c>
      <c r="J80" s="15" t="s">
        <v>982</v>
      </c>
      <c r="K80" s="9" t="s">
        <v>1659</v>
      </c>
      <c r="L80" s="9" t="s">
        <v>1672</v>
      </c>
      <c r="M80" s="11">
        <v>2010</v>
      </c>
      <c r="N80" s="10" t="s">
        <v>1673</v>
      </c>
      <c r="O80" s="9" t="s">
        <v>1674</v>
      </c>
      <c r="P80" s="12" t="s">
        <v>38</v>
      </c>
      <c r="Q80" s="12" t="s">
        <v>1109</v>
      </c>
      <c r="R80" s="9" t="s">
        <v>1675</v>
      </c>
      <c r="S80" s="9" t="s">
        <v>1085</v>
      </c>
      <c r="T80" s="9" t="s">
        <v>1676</v>
      </c>
      <c r="U80" s="9" t="s">
        <v>1161</v>
      </c>
      <c r="V80" s="13" t="s">
        <v>1114</v>
      </c>
      <c r="W80" s="13" t="s">
        <v>1115</v>
      </c>
      <c r="X80" s="9" t="s">
        <v>993</v>
      </c>
      <c r="Y80" s="9" t="s">
        <v>1116</v>
      </c>
      <c r="Z80" s="9" t="s">
        <v>1677</v>
      </c>
      <c r="AA80" s="9" t="s">
        <v>48</v>
      </c>
      <c r="AB80" s="9" t="s">
        <v>48</v>
      </c>
      <c r="AC80" s="9" t="s">
        <v>48</v>
      </c>
      <c r="AD80" s="9" t="s">
        <v>48</v>
      </c>
      <c r="AE80"/>
    </row>
    <row r="81" spans="1:31">
      <c r="A81" s="16">
        <v>77</v>
      </c>
      <c r="B81" s="6" t="s">
        <v>1678</v>
      </c>
      <c r="C81" s="7"/>
      <c r="D81" s="8"/>
      <c r="E81" s="8"/>
      <c r="F81" s="9" t="s">
        <v>1679</v>
      </c>
      <c r="G81" s="9" t="s">
        <v>76</v>
      </c>
      <c r="H81" s="9" t="s">
        <v>51</v>
      </c>
      <c r="I81" s="10" t="s">
        <v>1680</v>
      </c>
      <c r="J81" s="15" t="s">
        <v>982</v>
      </c>
      <c r="K81" s="9" t="s">
        <v>1659</v>
      </c>
      <c r="L81" s="9" t="s">
        <v>1672</v>
      </c>
      <c r="M81" s="11">
        <v>2011</v>
      </c>
      <c r="N81" s="9" t="s">
        <v>1681</v>
      </c>
      <c r="O81" s="10" t="s">
        <v>1682</v>
      </c>
      <c r="P81" s="12" t="s">
        <v>38</v>
      </c>
      <c r="Q81" s="12" t="s">
        <v>1109</v>
      </c>
      <c r="R81" s="9" t="s">
        <v>1683</v>
      </c>
      <c r="S81" s="9" t="s">
        <v>1085</v>
      </c>
      <c r="T81" s="9" t="s">
        <v>1684</v>
      </c>
      <c r="U81" s="9" t="s">
        <v>1113</v>
      </c>
      <c r="V81" s="13" t="s">
        <v>1114</v>
      </c>
      <c r="W81" s="13" t="s">
        <v>1115</v>
      </c>
      <c r="X81" s="9" t="s">
        <v>993</v>
      </c>
      <c r="Y81" s="9" t="s">
        <v>1116</v>
      </c>
      <c r="Z81" s="9" t="s">
        <v>1685</v>
      </c>
      <c r="AA81" s="9" t="s">
        <v>48</v>
      </c>
      <c r="AB81" s="9" t="s">
        <v>48</v>
      </c>
      <c r="AC81" s="9" t="s">
        <v>48</v>
      </c>
      <c r="AD81" s="9" t="s">
        <v>48</v>
      </c>
      <c r="AE81"/>
    </row>
    <row r="82" spans="1:31">
      <c r="A82" s="16">
        <v>78</v>
      </c>
      <c r="B82" s="6" t="s">
        <v>1686</v>
      </c>
      <c r="C82" s="7"/>
      <c r="D82" s="8"/>
      <c r="E82" s="8"/>
      <c r="F82" s="9" t="s">
        <v>1687</v>
      </c>
      <c r="G82" s="9" t="s">
        <v>76</v>
      </c>
      <c r="H82" s="9" t="s">
        <v>51</v>
      </c>
      <c r="I82" s="10" t="s">
        <v>1688</v>
      </c>
      <c r="J82" s="15" t="s">
        <v>982</v>
      </c>
      <c r="K82" s="9" t="s">
        <v>1659</v>
      </c>
      <c r="L82" s="9" t="s">
        <v>1672</v>
      </c>
      <c r="M82" s="11">
        <v>2014</v>
      </c>
      <c r="N82" s="9" t="s">
        <v>1689</v>
      </c>
      <c r="O82" s="10" t="s">
        <v>1690</v>
      </c>
      <c r="P82" s="12" t="s">
        <v>38</v>
      </c>
      <c r="Q82" s="12" t="s">
        <v>1012</v>
      </c>
      <c r="R82" s="9" t="s">
        <v>1691</v>
      </c>
      <c r="S82" s="9" t="s">
        <v>1003</v>
      </c>
      <c r="T82" s="9" t="s">
        <v>1004</v>
      </c>
      <c r="U82" s="9" t="s">
        <v>1014</v>
      </c>
      <c r="V82" s="13" t="s">
        <v>1015</v>
      </c>
      <c r="W82" s="13" t="s">
        <v>44</v>
      </c>
      <c r="X82" s="9" t="s">
        <v>45</v>
      </c>
      <c r="Y82" s="9" t="s">
        <v>46</v>
      </c>
      <c r="Z82" s="9" t="s">
        <v>1692</v>
      </c>
      <c r="AA82" s="9" t="s">
        <v>48</v>
      </c>
      <c r="AB82" s="9" t="s">
        <v>48</v>
      </c>
      <c r="AC82" s="9" t="s">
        <v>48</v>
      </c>
      <c r="AD82" s="9" t="s">
        <v>48</v>
      </c>
      <c r="AE82"/>
    </row>
    <row r="83" spans="1:31">
      <c r="A83" s="16">
        <v>79</v>
      </c>
      <c r="B83" s="6" t="s">
        <v>1693</v>
      </c>
      <c r="C83" s="7"/>
      <c r="D83" s="8"/>
      <c r="E83" s="8"/>
      <c r="F83" s="9" t="s">
        <v>1694</v>
      </c>
      <c r="G83" s="9" t="s">
        <v>76</v>
      </c>
      <c r="H83" s="9" t="s">
        <v>51</v>
      </c>
      <c r="I83" s="10" t="s">
        <v>1695</v>
      </c>
      <c r="J83" s="15" t="s">
        <v>982</v>
      </c>
      <c r="K83" s="9" t="s">
        <v>1659</v>
      </c>
      <c r="L83" s="9" t="s">
        <v>1672</v>
      </c>
      <c r="M83" s="11">
        <v>42705</v>
      </c>
      <c r="N83" s="9" t="s">
        <v>1696</v>
      </c>
      <c r="O83" s="10" t="s">
        <v>1697</v>
      </c>
      <c r="P83" s="12" t="s">
        <v>56</v>
      </c>
      <c r="Q83" s="12" t="s">
        <v>57</v>
      </c>
      <c r="R83" s="9" t="s">
        <v>1698</v>
      </c>
      <c r="S83" s="9" t="s">
        <v>1003</v>
      </c>
      <c r="T83" s="13" t="s">
        <v>1699</v>
      </c>
      <c r="U83" s="9" t="s">
        <v>61</v>
      </c>
      <c r="V83" s="32" t="s">
        <v>1025</v>
      </c>
      <c r="W83" s="32" t="s">
        <v>62</v>
      </c>
      <c r="X83" s="9" t="s">
        <v>45</v>
      </c>
      <c r="Y83" s="9" t="s">
        <v>88</v>
      </c>
      <c r="Z83" s="13" t="s">
        <v>1700</v>
      </c>
      <c r="AA83" s="9" t="s">
        <v>48</v>
      </c>
      <c r="AB83" s="9" t="s">
        <v>48</v>
      </c>
      <c r="AC83" s="9" t="s">
        <v>48</v>
      </c>
      <c r="AD83" s="9" t="s">
        <v>48</v>
      </c>
      <c r="AE83"/>
    </row>
    <row r="84" spans="1:31">
      <c r="A84" s="16">
        <v>80</v>
      </c>
      <c r="B84" s="6" t="s">
        <v>1701</v>
      </c>
      <c r="C84" s="7"/>
      <c r="D84" s="8"/>
      <c r="E84" s="8"/>
      <c r="F84" s="9" t="s">
        <v>1702</v>
      </c>
      <c r="G84" s="9" t="s">
        <v>76</v>
      </c>
      <c r="H84" s="9" t="s">
        <v>51</v>
      </c>
      <c r="I84" s="10" t="s">
        <v>1703</v>
      </c>
      <c r="J84" s="15" t="s">
        <v>982</v>
      </c>
      <c r="K84" s="9" t="s">
        <v>1659</v>
      </c>
      <c r="L84" s="9" t="s">
        <v>1672</v>
      </c>
      <c r="M84" s="11">
        <v>42705</v>
      </c>
      <c r="N84" s="30" t="s">
        <v>1704</v>
      </c>
      <c r="O84" s="10" t="s">
        <v>1705</v>
      </c>
      <c r="P84" s="12" t="s">
        <v>56</v>
      </c>
      <c r="Q84" s="12" t="s">
        <v>57</v>
      </c>
      <c r="R84" s="9" t="s">
        <v>1706</v>
      </c>
      <c r="S84" s="9" t="s">
        <v>1003</v>
      </c>
      <c r="T84" s="9" t="s">
        <v>1707</v>
      </c>
      <c r="U84" s="9" t="s">
        <v>61</v>
      </c>
      <c r="V84" s="32" t="s">
        <v>1025</v>
      </c>
      <c r="W84" s="32" t="s">
        <v>62</v>
      </c>
      <c r="X84" s="9" t="s">
        <v>45</v>
      </c>
      <c r="Y84" s="9" t="s">
        <v>88</v>
      </c>
      <c r="Z84" s="13" t="s">
        <v>1708</v>
      </c>
      <c r="AA84" s="9" t="s">
        <v>48</v>
      </c>
      <c r="AB84" s="9" t="s">
        <v>48</v>
      </c>
      <c r="AC84" s="9" t="s">
        <v>48</v>
      </c>
      <c r="AD84" s="9" t="s">
        <v>48</v>
      </c>
      <c r="AE84"/>
    </row>
    <row r="85" spans="1:31">
      <c r="A85" s="16">
        <v>81</v>
      </c>
      <c r="B85" s="6" t="s">
        <v>1709</v>
      </c>
      <c r="C85" s="7"/>
      <c r="D85" s="8"/>
      <c r="E85" s="8"/>
      <c r="F85" s="9" t="s">
        <v>1710</v>
      </c>
      <c r="G85" s="9" t="s">
        <v>76</v>
      </c>
      <c r="H85" s="9" t="s">
        <v>51</v>
      </c>
      <c r="I85" s="10" t="s">
        <v>247</v>
      </c>
      <c r="J85" s="15" t="s">
        <v>982</v>
      </c>
      <c r="K85" s="9" t="s">
        <v>1659</v>
      </c>
      <c r="L85" s="9" t="s">
        <v>1672</v>
      </c>
      <c r="M85" s="11">
        <v>42705</v>
      </c>
      <c r="N85" s="9" t="s">
        <v>1711</v>
      </c>
      <c r="O85" s="10" t="s">
        <v>1712</v>
      </c>
      <c r="P85" s="12" t="s">
        <v>56</v>
      </c>
      <c r="Q85" s="12" t="s">
        <v>57</v>
      </c>
      <c r="R85" s="9" t="s">
        <v>1713</v>
      </c>
      <c r="S85" s="9" t="s">
        <v>1003</v>
      </c>
      <c r="T85" s="9" t="s">
        <v>1714</v>
      </c>
      <c r="U85" s="9" t="s">
        <v>61</v>
      </c>
      <c r="V85" s="32" t="s">
        <v>1025</v>
      </c>
      <c r="W85" s="32" t="s">
        <v>62</v>
      </c>
      <c r="X85" s="9" t="s">
        <v>45</v>
      </c>
      <c r="Y85" s="9" t="s">
        <v>88</v>
      </c>
      <c r="Z85" s="9" t="s">
        <v>1715</v>
      </c>
      <c r="AA85" s="9" t="s">
        <v>48</v>
      </c>
      <c r="AB85" s="9" t="s">
        <v>48</v>
      </c>
      <c r="AC85" s="9" t="s">
        <v>48</v>
      </c>
      <c r="AD85" s="9" t="s">
        <v>48</v>
      </c>
      <c r="AE85"/>
    </row>
    <row r="86" spans="1:31">
      <c r="A86" s="16">
        <v>82</v>
      </c>
      <c r="B86" s="6" t="s">
        <v>1716</v>
      </c>
      <c r="C86" s="7"/>
      <c r="D86" s="8"/>
      <c r="E86" s="8"/>
      <c r="F86" s="9" t="s">
        <v>1717</v>
      </c>
      <c r="G86" s="9" t="s">
        <v>76</v>
      </c>
      <c r="H86" s="9" t="s">
        <v>51</v>
      </c>
      <c r="I86" s="10" t="s">
        <v>863</v>
      </c>
      <c r="J86" s="15" t="s">
        <v>982</v>
      </c>
      <c r="K86" s="9" t="s">
        <v>1659</v>
      </c>
      <c r="L86" s="9" t="s">
        <v>1672</v>
      </c>
      <c r="M86" s="11">
        <v>42705</v>
      </c>
      <c r="N86" s="9" t="s">
        <v>1718</v>
      </c>
      <c r="O86" s="10" t="s">
        <v>1719</v>
      </c>
      <c r="P86" s="12" t="s">
        <v>56</v>
      </c>
      <c r="Q86" s="12" t="s">
        <v>57</v>
      </c>
      <c r="R86" s="9" t="s">
        <v>1720</v>
      </c>
      <c r="S86" s="9" t="s">
        <v>1003</v>
      </c>
      <c r="T86" s="9" t="s">
        <v>1721</v>
      </c>
      <c r="U86" s="9" t="s">
        <v>61</v>
      </c>
      <c r="V86" s="32" t="s">
        <v>1025</v>
      </c>
      <c r="W86" s="32" t="s">
        <v>62</v>
      </c>
      <c r="X86" s="9" t="s">
        <v>45</v>
      </c>
      <c r="Y86" s="9" t="s">
        <v>88</v>
      </c>
      <c r="Z86" s="30" t="s">
        <v>1722</v>
      </c>
      <c r="AA86" s="9" t="s">
        <v>48</v>
      </c>
      <c r="AB86" s="9" t="s">
        <v>48</v>
      </c>
      <c r="AC86" s="9" t="s">
        <v>48</v>
      </c>
      <c r="AD86" s="9" t="s">
        <v>48</v>
      </c>
      <c r="AE86"/>
    </row>
    <row r="87" spans="1:31">
      <c r="A87" s="16">
        <v>83</v>
      </c>
      <c r="B87" s="6" t="s">
        <v>1723</v>
      </c>
      <c r="C87" s="7"/>
      <c r="D87" s="8"/>
      <c r="E87" s="8"/>
      <c r="F87" s="9" t="s">
        <v>1724</v>
      </c>
      <c r="G87" s="9" t="s">
        <v>76</v>
      </c>
      <c r="H87" s="9" t="s">
        <v>51</v>
      </c>
      <c r="I87" s="10" t="s">
        <v>1725</v>
      </c>
      <c r="J87" s="15" t="s">
        <v>982</v>
      </c>
      <c r="K87" s="9" t="s">
        <v>1659</v>
      </c>
      <c r="L87" s="9" t="s">
        <v>1672</v>
      </c>
      <c r="M87" s="11">
        <v>42705</v>
      </c>
      <c r="N87" s="9" t="s">
        <v>1726</v>
      </c>
      <c r="O87" s="9" t="s">
        <v>1727</v>
      </c>
      <c r="P87" s="12" t="s">
        <v>56</v>
      </c>
      <c r="Q87" s="12" t="s">
        <v>57</v>
      </c>
      <c r="R87" s="9" t="s">
        <v>1728</v>
      </c>
      <c r="S87" s="9" t="s">
        <v>41</v>
      </c>
      <c r="T87" s="13" t="s">
        <v>1729</v>
      </c>
      <c r="U87" s="9" t="s">
        <v>61</v>
      </c>
      <c r="V87" s="32" t="s">
        <v>1025</v>
      </c>
      <c r="W87" s="32" t="s">
        <v>62</v>
      </c>
      <c r="X87" s="9" t="s">
        <v>45</v>
      </c>
      <c r="Y87" s="9" t="s">
        <v>88</v>
      </c>
      <c r="Z87" s="13" t="s">
        <v>1730</v>
      </c>
      <c r="AA87" s="9" t="s">
        <v>48</v>
      </c>
      <c r="AB87" s="9" t="s">
        <v>48</v>
      </c>
      <c r="AC87" s="9" t="s">
        <v>48</v>
      </c>
      <c r="AD87" s="9" t="s">
        <v>48</v>
      </c>
      <c r="AE87"/>
    </row>
    <row r="88" spans="1:31">
      <c r="A88" s="16">
        <v>84</v>
      </c>
      <c r="B88" s="22" t="s">
        <v>1731</v>
      </c>
      <c r="C88" s="6"/>
      <c r="D88" s="16"/>
      <c r="E88" s="16"/>
      <c r="F88" s="10" t="s">
        <v>1732</v>
      </c>
      <c r="G88" s="10" t="s">
        <v>76</v>
      </c>
      <c r="H88" s="9" t="s">
        <v>51</v>
      </c>
      <c r="I88" s="10" t="s">
        <v>1733</v>
      </c>
      <c r="J88" s="15" t="s">
        <v>982</v>
      </c>
      <c r="K88" s="10" t="s">
        <v>1659</v>
      </c>
      <c r="L88" s="9" t="s">
        <v>1672</v>
      </c>
      <c r="M88" s="11" t="s">
        <v>1018</v>
      </c>
      <c r="N88" s="10" t="s">
        <v>1734</v>
      </c>
      <c r="O88" s="10" t="s">
        <v>1735</v>
      </c>
      <c r="P88" s="10" t="s">
        <v>38</v>
      </c>
      <c r="Q88" s="10" t="s">
        <v>1736</v>
      </c>
      <c r="R88" s="10" t="s">
        <v>1737</v>
      </c>
      <c r="S88" s="10" t="s">
        <v>1738</v>
      </c>
      <c r="T88" s="10" t="s">
        <v>1739</v>
      </c>
      <c r="U88" s="10" t="s">
        <v>1740</v>
      </c>
      <c r="V88" s="10" t="s">
        <v>1741</v>
      </c>
      <c r="W88" s="10" t="s">
        <v>1742</v>
      </c>
      <c r="X88" s="10" t="s">
        <v>1743</v>
      </c>
      <c r="Y88" s="10" t="s">
        <v>1744</v>
      </c>
      <c r="Z88" s="10" t="s">
        <v>48</v>
      </c>
      <c r="AA88" s="10" t="s">
        <v>48</v>
      </c>
      <c r="AB88" s="10" t="s">
        <v>48</v>
      </c>
      <c r="AC88" s="10" t="s">
        <v>48</v>
      </c>
      <c r="AD88" s="10" t="s">
        <v>48</v>
      </c>
      <c r="AE88"/>
    </row>
    <row r="89" spans="1:31">
      <c r="A89" s="16">
        <v>85</v>
      </c>
      <c r="B89" s="5" t="s">
        <v>1745</v>
      </c>
      <c r="F89" s="2" t="s">
        <v>1746</v>
      </c>
      <c r="G89" s="2" t="s">
        <v>76</v>
      </c>
      <c r="H89" s="9" t="s">
        <v>51</v>
      </c>
      <c r="I89" s="2" t="s">
        <v>1747</v>
      </c>
      <c r="J89" s="14" t="s">
        <v>982</v>
      </c>
      <c r="K89" s="2" t="s">
        <v>1659</v>
      </c>
      <c r="L89" s="2" t="s">
        <v>1672</v>
      </c>
      <c r="M89" s="3"/>
      <c r="N89" s="2" t="s">
        <v>1748</v>
      </c>
      <c r="O89" s="2" t="s">
        <v>1749</v>
      </c>
      <c r="P89" s="2" t="s">
        <v>352</v>
      </c>
      <c r="Q89" s="2" t="s">
        <v>1750</v>
      </c>
      <c r="R89" s="2" t="s">
        <v>1751</v>
      </c>
      <c r="S89" s="10" t="s">
        <v>1062</v>
      </c>
      <c r="T89" s="2" t="s">
        <v>1752</v>
      </c>
      <c r="U89" s="2" t="s">
        <v>1753</v>
      </c>
      <c r="V89" s="2" t="s">
        <v>1754</v>
      </c>
      <c r="W89" s="2" t="s">
        <v>62</v>
      </c>
      <c r="X89" s="2" t="s">
        <v>98</v>
      </c>
      <c r="Y89" s="10" t="s">
        <v>1755</v>
      </c>
      <c r="Z89" s="2" t="s">
        <v>1756</v>
      </c>
      <c r="AA89" s="10" t="s">
        <v>364</v>
      </c>
      <c r="AB89" s="10" t="s">
        <v>364</v>
      </c>
      <c r="AC89" s="10" t="s">
        <v>364</v>
      </c>
      <c r="AD89" s="10" t="s">
        <v>364</v>
      </c>
      <c r="AE89"/>
    </row>
    <row r="90" spans="1:31">
      <c r="A90" s="16">
        <v>86</v>
      </c>
      <c r="B90" s="5" t="s">
        <v>1757</v>
      </c>
      <c r="F90" s="2" t="s">
        <v>1223</v>
      </c>
      <c r="G90" s="2" t="s">
        <v>76</v>
      </c>
      <c r="H90" s="9" t="s">
        <v>51</v>
      </c>
      <c r="I90" s="2" t="s">
        <v>1758</v>
      </c>
      <c r="J90" s="14" t="s">
        <v>982</v>
      </c>
      <c r="K90" s="2" t="s">
        <v>1659</v>
      </c>
      <c r="L90" s="2" t="s">
        <v>1759</v>
      </c>
      <c r="M90" s="3">
        <v>43474</v>
      </c>
      <c r="N90" s="2" t="s">
        <v>1760</v>
      </c>
      <c r="O90" s="2" t="s">
        <v>1761</v>
      </c>
      <c r="P90" s="2" t="s">
        <v>352</v>
      </c>
      <c r="Q90" s="2" t="s">
        <v>169</v>
      </c>
      <c r="R90" s="2" t="s">
        <v>1762</v>
      </c>
      <c r="S90" s="10" t="s">
        <v>1062</v>
      </c>
      <c r="T90" s="2" t="s">
        <v>171</v>
      </c>
      <c r="U90" s="2" t="s">
        <v>172</v>
      </c>
      <c r="W90" s="2" t="s">
        <v>62</v>
      </c>
      <c r="X90" s="2" t="s">
        <v>98</v>
      </c>
      <c r="Y90" s="10" t="s">
        <v>205</v>
      </c>
      <c r="Z90" s="2" t="s">
        <v>1763</v>
      </c>
      <c r="AA90" s="10" t="s">
        <v>364</v>
      </c>
      <c r="AB90" s="10" t="s">
        <v>364</v>
      </c>
      <c r="AC90" s="10" t="s">
        <v>364</v>
      </c>
      <c r="AD90" s="10" t="s">
        <v>364</v>
      </c>
      <c r="AE90"/>
    </row>
    <row r="91" spans="1:31">
      <c r="A91" s="16">
        <v>87</v>
      </c>
      <c r="B91" s="6" t="s">
        <v>1764</v>
      </c>
      <c r="C91" s="6" t="s">
        <v>978</v>
      </c>
      <c r="D91" s="16">
        <v>18</v>
      </c>
      <c r="E91" s="16" t="s">
        <v>1765</v>
      </c>
      <c r="F91" s="9" t="s">
        <v>1766</v>
      </c>
      <c r="G91" s="9" t="s">
        <v>76</v>
      </c>
      <c r="H91" s="9" t="s">
        <v>51</v>
      </c>
      <c r="I91" s="10" t="s">
        <v>1767</v>
      </c>
      <c r="J91" s="15" t="s">
        <v>982</v>
      </c>
      <c r="K91" s="9" t="s">
        <v>209</v>
      </c>
      <c r="L91" s="9" t="s">
        <v>1326</v>
      </c>
      <c r="M91" s="11">
        <v>2012</v>
      </c>
      <c r="N91" s="9" t="s">
        <v>1768</v>
      </c>
      <c r="O91" s="9" t="s">
        <v>1769</v>
      </c>
      <c r="P91" s="12" t="s">
        <v>1001</v>
      </c>
      <c r="Q91" s="12" t="s">
        <v>987</v>
      </c>
      <c r="R91" s="9" t="s">
        <v>1770</v>
      </c>
      <c r="S91" s="9" t="s">
        <v>1085</v>
      </c>
      <c r="T91" s="9" t="s">
        <v>1771</v>
      </c>
      <c r="U91" s="9" t="s">
        <v>1772</v>
      </c>
      <c r="V91" s="13" t="s">
        <v>1103</v>
      </c>
      <c r="W91" s="13" t="s">
        <v>1773</v>
      </c>
      <c r="X91" s="9" t="s">
        <v>993</v>
      </c>
      <c r="Y91" s="9" t="s">
        <v>1116</v>
      </c>
      <c r="Z91" s="9" t="s">
        <v>1774</v>
      </c>
      <c r="AA91" s="9" t="s">
        <v>48</v>
      </c>
      <c r="AB91" s="9" t="s">
        <v>48</v>
      </c>
      <c r="AC91" s="9" t="s">
        <v>48</v>
      </c>
      <c r="AD91" s="9" t="s">
        <v>48</v>
      </c>
      <c r="AE91"/>
    </row>
    <row r="92" spans="1:31">
      <c r="A92" s="16">
        <v>88</v>
      </c>
      <c r="B92" s="6" t="s">
        <v>1775</v>
      </c>
      <c r="C92" s="6" t="s">
        <v>978</v>
      </c>
      <c r="D92" s="16">
        <v>19</v>
      </c>
      <c r="E92" s="16" t="s">
        <v>1776</v>
      </c>
      <c r="F92" s="9" t="s">
        <v>1777</v>
      </c>
      <c r="G92" s="9" t="s">
        <v>76</v>
      </c>
      <c r="H92" s="9" t="s">
        <v>51</v>
      </c>
      <c r="I92" s="10" t="s">
        <v>1778</v>
      </c>
      <c r="J92" s="15" t="s">
        <v>982</v>
      </c>
      <c r="K92" s="9" t="s">
        <v>209</v>
      </c>
      <c r="L92" s="9" t="s">
        <v>1326</v>
      </c>
      <c r="M92" s="11">
        <v>42705</v>
      </c>
      <c r="N92" s="9" t="s">
        <v>1779</v>
      </c>
      <c r="O92" s="9" t="s">
        <v>1780</v>
      </c>
      <c r="P92" s="12" t="s">
        <v>56</v>
      </c>
      <c r="Q92" s="12" t="s">
        <v>57</v>
      </c>
      <c r="R92" s="9" t="s">
        <v>1781</v>
      </c>
      <c r="S92" s="9" t="s">
        <v>1003</v>
      </c>
      <c r="T92" s="9" t="s">
        <v>1782</v>
      </c>
      <c r="U92" s="9" t="s">
        <v>61</v>
      </c>
      <c r="V92" s="32" t="s">
        <v>1025</v>
      </c>
      <c r="W92" s="32" t="s">
        <v>62</v>
      </c>
      <c r="X92" s="9" t="s">
        <v>45</v>
      </c>
      <c r="Y92" s="9" t="s">
        <v>88</v>
      </c>
      <c r="Z92" s="9" t="s">
        <v>1783</v>
      </c>
      <c r="AA92" s="9" t="s">
        <v>48</v>
      </c>
      <c r="AB92" s="9" t="s">
        <v>48</v>
      </c>
      <c r="AC92" s="9" t="s">
        <v>48</v>
      </c>
      <c r="AD92" s="9" t="s">
        <v>48</v>
      </c>
      <c r="AE92"/>
    </row>
    <row r="93" spans="1:31">
      <c r="A93" s="16">
        <v>89</v>
      </c>
      <c r="B93" s="6" t="s">
        <v>1784</v>
      </c>
      <c r="C93" s="6" t="s">
        <v>1785</v>
      </c>
      <c r="D93" s="16" t="s">
        <v>1785</v>
      </c>
      <c r="E93" s="16" t="s">
        <v>1786</v>
      </c>
      <c r="F93" s="9" t="s">
        <v>1787</v>
      </c>
      <c r="G93" s="9" t="s">
        <v>76</v>
      </c>
      <c r="H93" s="9" t="s">
        <v>51</v>
      </c>
      <c r="I93" s="10" t="s">
        <v>1788</v>
      </c>
      <c r="J93" s="15" t="s">
        <v>982</v>
      </c>
      <c r="K93" s="9" t="s">
        <v>209</v>
      </c>
      <c r="L93" s="9" t="s">
        <v>984</v>
      </c>
      <c r="M93" s="11">
        <v>42705</v>
      </c>
      <c r="N93" s="9" t="s">
        <v>1789</v>
      </c>
      <c r="O93" s="9" t="s">
        <v>1790</v>
      </c>
      <c r="P93" s="12" t="s">
        <v>56</v>
      </c>
      <c r="Q93" s="12" t="s">
        <v>57</v>
      </c>
      <c r="R93" s="9" t="s">
        <v>1791</v>
      </c>
      <c r="S93" s="9" t="s">
        <v>1003</v>
      </c>
      <c r="T93" s="32" t="s">
        <v>1792</v>
      </c>
      <c r="U93" s="9" t="s">
        <v>61</v>
      </c>
      <c r="V93" s="32" t="s">
        <v>1025</v>
      </c>
      <c r="W93" s="32" t="s">
        <v>62</v>
      </c>
      <c r="X93" s="9" t="s">
        <v>45</v>
      </c>
      <c r="Y93" s="9" t="s">
        <v>88</v>
      </c>
      <c r="Z93" s="9" t="s">
        <v>614</v>
      </c>
      <c r="AA93" s="9" t="s">
        <v>48</v>
      </c>
      <c r="AB93" s="9" t="s">
        <v>48</v>
      </c>
      <c r="AC93" s="9" t="s">
        <v>48</v>
      </c>
      <c r="AD93" s="9" t="s">
        <v>48</v>
      </c>
      <c r="AE93"/>
    </row>
    <row r="94" spans="1:31">
      <c r="A94" s="16">
        <v>90</v>
      </c>
      <c r="B94" s="6" t="s">
        <v>1793</v>
      </c>
      <c r="C94" s="7"/>
      <c r="D94" s="8"/>
      <c r="E94" s="8"/>
      <c r="F94" s="9" t="s">
        <v>1794</v>
      </c>
      <c r="G94" s="9" t="s">
        <v>76</v>
      </c>
      <c r="H94" s="9" t="s">
        <v>51</v>
      </c>
      <c r="I94" s="10" t="s">
        <v>1795</v>
      </c>
      <c r="J94" s="15" t="s">
        <v>982</v>
      </c>
      <c r="K94" s="9" t="s">
        <v>79</v>
      </c>
      <c r="L94" s="9" t="s">
        <v>1796</v>
      </c>
      <c r="M94" s="11">
        <v>2009</v>
      </c>
      <c r="N94" s="9" t="s">
        <v>1797</v>
      </c>
      <c r="O94" s="9" t="s">
        <v>1798</v>
      </c>
      <c r="P94" s="12" t="s">
        <v>38</v>
      </c>
      <c r="Q94" s="12" t="s">
        <v>1158</v>
      </c>
      <c r="R94" s="9" t="s">
        <v>1799</v>
      </c>
      <c r="S94" s="9" t="s">
        <v>1085</v>
      </c>
      <c r="T94" s="9" t="s">
        <v>1800</v>
      </c>
      <c r="U94" s="9" t="s">
        <v>1186</v>
      </c>
      <c r="V94" s="13" t="s">
        <v>1187</v>
      </c>
      <c r="W94" s="13" t="s">
        <v>1138</v>
      </c>
      <c r="X94" s="9" t="s">
        <v>1188</v>
      </c>
      <c r="Y94" s="9" t="s">
        <v>1152</v>
      </c>
      <c r="Z94" s="9" t="s">
        <v>1801</v>
      </c>
      <c r="AA94" s="9" t="s">
        <v>48</v>
      </c>
      <c r="AB94" s="9" t="s">
        <v>48</v>
      </c>
      <c r="AC94" s="9" t="s">
        <v>48</v>
      </c>
      <c r="AD94" s="9" t="s">
        <v>48</v>
      </c>
      <c r="AE94"/>
    </row>
    <row r="95" spans="1:31">
      <c r="A95" s="16">
        <v>91</v>
      </c>
      <c r="B95" s="6" t="s">
        <v>1802</v>
      </c>
      <c r="C95" s="6" t="s">
        <v>978</v>
      </c>
      <c r="D95" s="16">
        <v>40</v>
      </c>
      <c r="E95" s="16" t="s">
        <v>1072</v>
      </c>
      <c r="F95" s="9" t="s">
        <v>1228</v>
      </c>
      <c r="G95" s="9" t="s">
        <v>76</v>
      </c>
      <c r="H95" s="9" t="s">
        <v>51</v>
      </c>
      <c r="I95" s="10" t="s">
        <v>1803</v>
      </c>
      <c r="J95" s="15" t="s">
        <v>982</v>
      </c>
      <c r="K95" s="9" t="s">
        <v>79</v>
      </c>
      <c r="L95" s="9" t="s">
        <v>1804</v>
      </c>
      <c r="M95" s="11">
        <v>2011</v>
      </c>
      <c r="N95" s="9" t="s">
        <v>1805</v>
      </c>
      <c r="O95" s="21" t="s">
        <v>1806</v>
      </c>
      <c r="P95" s="12" t="s">
        <v>38</v>
      </c>
      <c r="Q95" s="12" t="s">
        <v>1234</v>
      </c>
      <c r="R95" s="9" t="s">
        <v>1807</v>
      </c>
      <c r="S95" s="9" t="s">
        <v>1085</v>
      </c>
      <c r="T95" s="9" t="s">
        <v>1808</v>
      </c>
      <c r="U95" s="9" t="s">
        <v>1113</v>
      </c>
      <c r="V95" s="13" t="s">
        <v>1237</v>
      </c>
      <c r="W95" s="13" t="s">
        <v>1238</v>
      </c>
      <c r="X95" s="9" t="s">
        <v>45</v>
      </c>
      <c r="Y95" s="9" t="s">
        <v>1116</v>
      </c>
      <c r="Z95" s="9" t="s">
        <v>1809</v>
      </c>
      <c r="AA95" s="9" t="s">
        <v>48</v>
      </c>
      <c r="AB95" s="9" t="s">
        <v>48</v>
      </c>
      <c r="AC95" s="9" t="s">
        <v>48</v>
      </c>
      <c r="AD95" s="9" t="s">
        <v>48</v>
      </c>
      <c r="AE95"/>
    </row>
    <row r="96" spans="1:31">
      <c r="A96" s="16">
        <v>92</v>
      </c>
      <c r="B96" s="6" t="s">
        <v>1810</v>
      </c>
      <c r="C96" s="7"/>
      <c r="D96" s="8"/>
      <c r="E96" s="8"/>
      <c r="F96" s="9" t="s">
        <v>1811</v>
      </c>
      <c r="G96" s="9" t="s">
        <v>76</v>
      </c>
      <c r="H96" s="9" t="s">
        <v>51</v>
      </c>
      <c r="I96" s="10" t="s">
        <v>1812</v>
      </c>
      <c r="J96" s="15" t="s">
        <v>34</v>
      </c>
      <c r="K96" s="9" t="s">
        <v>79</v>
      </c>
      <c r="L96" s="9" t="s">
        <v>1813</v>
      </c>
      <c r="M96" s="11">
        <v>2006</v>
      </c>
      <c r="N96" s="9" t="s">
        <v>1814</v>
      </c>
      <c r="O96" s="10" t="s">
        <v>1815</v>
      </c>
      <c r="P96" s="12" t="s">
        <v>56</v>
      </c>
      <c r="Q96" s="12" t="s">
        <v>1083</v>
      </c>
      <c r="R96" s="9" t="s">
        <v>1816</v>
      </c>
      <c r="S96" s="9" t="s">
        <v>1085</v>
      </c>
      <c r="T96" s="9" t="s">
        <v>1817</v>
      </c>
      <c r="U96" s="9" t="s">
        <v>1087</v>
      </c>
      <c r="V96" s="13" t="s">
        <v>1088</v>
      </c>
      <c r="W96" s="13" t="s">
        <v>1089</v>
      </c>
      <c r="X96" s="9" t="s">
        <v>1370</v>
      </c>
      <c r="Y96" s="9" t="s">
        <v>1139</v>
      </c>
      <c r="Z96" s="9" t="s">
        <v>1818</v>
      </c>
      <c r="AA96" s="9" t="s">
        <v>48</v>
      </c>
      <c r="AB96" s="9" t="s">
        <v>48</v>
      </c>
      <c r="AC96" s="9" t="s">
        <v>48</v>
      </c>
      <c r="AD96" s="9" t="s">
        <v>48</v>
      </c>
      <c r="AE96"/>
    </row>
    <row r="97" spans="1:31">
      <c r="A97" s="16">
        <v>93</v>
      </c>
      <c r="B97" s="6" t="s">
        <v>1819</v>
      </c>
      <c r="C97" s="7"/>
      <c r="D97" s="8"/>
      <c r="E97" s="8"/>
      <c r="F97" s="9" t="s">
        <v>1820</v>
      </c>
      <c r="G97" s="9" t="s">
        <v>76</v>
      </c>
      <c r="H97" s="9" t="s">
        <v>51</v>
      </c>
      <c r="I97" s="10" t="s">
        <v>1821</v>
      </c>
      <c r="J97" s="15" t="s">
        <v>34</v>
      </c>
      <c r="K97" s="9" t="s">
        <v>79</v>
      </c>
      <c r="L97" s="9" t="s">
        <v>1822</v>
      </c>
      <c r="M97" s="11">
        <v>2000</v>
      </c>
      <c r="N97" s="9" t="s">
        <v>48</v>
      </c>
      <c r="O97" s="9"/>
      <c r="P97" s="12" t="s">
        <v>56</v>
      </c>
      <c r="Q97" s="12" t="s">
        <v>1823</v>
      </c>
      <c r="R97" s="9" t="s">
        <v>1824</v>
      </c>
      <c r="S97" s="9" t="s">
        <v>1825</v>
      </c>
      <c r="T97" s="9" t="s">
        <v>1826</v>
      </c>
      <c r="U97" s="9" t="s">
        <v>1827</v>
      </c>
      <c r="V97" s="13" t="s">
        <v>1828</v>
      </c>
      <c r="W97" s="13" t="s">
        <v>1829</v>
      </c>
      <c r="X97" s="9" t="s">
        <v>1830</v>
      </c>
      <c r="Y97" s="9" t="s">
        <v>48</v>
      </c>
      <c r="Z97" s="9" t="s">
        <v>48</v>
      </c>
      <c r="AA97" s="9" t="s">
        <v>1831</v>
      </c>
      <c r="AB97" s="9" t="s">
        <v>1832</v>
      </c>
      <c r="AC97" s="9" t="s">
        <v>48</v>
      </c>
      <c r="AD97" s="9" t="s">
        <v>48</v>
      </c>
      <c r="AE97"/>
    </row>
    <row r="98" spans="1:31">
      <c r="A98" s="16">
        <v>94</v>
      </c>
      <c r="B98" s="6" t="s">
        <v>1833</v>
      </c>
      <c r="C98" s="7"/>
      <c r="D98" s="8"/>
      <c r="E98" s="8"/>
      <c r="F98" s="9" t="s">
        <v>1834</v>
      </c>
      <c r="G98" s="9" t="s">
        <v>76</v>
      </c>
      <c r="H98" s="9" t="s">
        <v>51</v>
      </c>
      <c r="I98" s="10" t="s">
        <v>1835</v>
      </c>
      <c r="J98" s="15" t="s">
        <v>34</v>
      </c>
      <c r="K98" s="9" t="s">
        <v>79</v>
      </c>
      <c r="L98" s="9" t="s">
        <v>1836</v>
      </c>
      <c r="M98" s="11">
        <v>1994</v>
      </c>
      <c r="N98" s="9"/>
      <c r="O98" s="9"/>
      <c r="P98" s="12" t="s">
        <v>1453</v>
      </c>
      <c r="Q98" s="12" t="s">
        <v>1837</v>
      </c>
      <c r="R98" s="9" t="s">
        <v>1832</v>
      </c>
      <c r="S98" s="9" t="s">
        <v>1838</v>
      </c>
      <c r="T98" s="9" t="s">
        <v>1839</v>
      </c>
      <c r="U98" s="9" t="s">
        <v>1840</v>
      </c>
      <c r="V98" s="13" t="s">
        <v>1841</v>
      </c>
      <c r="W98" s="13" t="s">
        <v>1842</v>
      </c>
      <c r="X98" s="9" t="s">
        <v>1138</v>
      </c>
      <c r="Y98" s="9" t="s">
        <v>1843</v>
      </c>
      <c r="Z98" s="9" t="s">
        <v>1844</v>
      </c>
      <c r="AA98" s="9" t="s">
        <v>48</v>
      </c>
      <c r="AB98" s="9" t="s">
        <v>48</v>
      </c>
      <c r="AC98" s="9" t="s">
        <v>48</v>
      </c>
      <c r="AD98" s="9" t="s">
        <v>48</v>
      </c>
      <c r="AE98"/>
    </row>
    <row r="99" spans="1:31">
      <c r="A99" s="16">
        <v>95</v>
      </c>
      <c r="B99" s="6" t="s">
        <v>1845</v>
      </c>
      <c r="C99" s="7"/>
      <c r="D99" s="8"/>
      <c r="E99" s="8"/>
      <c r="F99" s="9" t="s">
        <v>1846</v>
      </c>
      <c r="G99" s="9" t="s">
        <v>76</v>
      </c>
      <c r="H99" s="9" t="s">
        <v>51</v>
      </c>
      <c r="I99" s="10" t="s">
        <v>1847</v>
      </c>
      <c r="J99" s="15" t="s">
        <v>34</v>
      </c>
      <c r="K99" s="9" t="s">
        <v>79</v>
      </c>
      <c r="L99" s="9" t="s">
        <v>1836</v>
      </c>
      <c r="M99" s="11">
        <v>2003</v>
      </c>
      <c r="N99" s="9"/>
      <c r="O99" s="9"/>
      <c r="P99" s="12" t="s">
        <v>38</v>
      </c>
      <c r="Q99" s="12" t="s">
        <v>1848</v>
      </c>
      <c r="R99" s="9" t="s">
        <v>1849</v>
      </c>
      <c r="S99" s="9" t="s">
        <v>1085</v>
      </c>
      <c r="T99" s="9" t="s">
        <v>1850</v>
      </c>
      <c r="U99" s="9" t="s">
        <v>1087</v>
      </c>
      <c r="V99" s="13" t="s">
        <v>1177</v>
      </c>
      <c r="W99" s="13" t="s">
        <v>1851</v>
      </c>
      <c r="X99" s="9" t="s">
        <v>1347</v>
      </c>
      <c r="Y99" s="9" t="s">
        <v>1852</v>
      </c>
      <c r="Z99" s="9" t="s">
        <v>1853</v>
      </c>
      <c r="AA99" s="9" t="s">
        <v>48</v>
      </c>
      <c r="AB99" s="9" t="s">
        <v>48</v>
      </c>
      <c r="AC99" s="9" t="s">
        <v>48</v>
      </c>
      <c r="AD99" s="9" t="s">
        <v>48</v>
      </c>
      <c r="AE99"/>
    </row>
    <row r="100" spans="1:31">
      <c r="A100" s="16">
        <v>96</v>
      </c>
      <c r="B100" s="6" t="s">
        <v>1854</v>
      </c>
      <c r="C100" s="7"/>
      <c r="D100" s="8"/>
      <c r="E100" s="8"/>
      <c r="F100" s="9" t="s">
        <v>1855</v>
      </c>
      <c r="G100" s="9" t="s">
        <v>76</v>
      </c>
      <c r="H100" s="9" t="s">
        <v>51</v>
      </c>
      <c r="I100" s="10" t="s">
        <v>1856</v>
      </c>
      <c r="J100" s="15" t="s">
        <v>982</v>
      </c>
      <c r="K100" s="9" t="s">
        <v>79</v>
      </c>
      <c r="L100" s="9" t="s">
        <v>1857</v>
      </c>
      <c r="M100" s="11">
        <v>2009</v>
      </c>
      <c r="N100" s="9" t="s">
        <v>1858</v>
      </c>
      <c r="O100" s="10" t="s">
        <v>1859</v>
      </c>
      <c r="P100" s="12" t="s">
        <v>38</v>
      </c>
      <c r="Q100" s="12" t="s">
        <v>1158</v>
      </c>
      <c r="R100" s="9" t="s">
        <v>1860</v>
      </c>
      <c r="S100" s="9" t="s">
        <v>1111</v>
      </c>
      <c r="T100" s="9" t="s">
        <v>1861</v>
      </c>
      <c r="U100" s="9" t="s">
        <v>1862</v>
      </c>
      <c r="V100" s="13" t="s">
        <v>1187</v>
      </c>
      <c r="W100" s="13" t="s">
        <v>1546</v>
      </c>
      <c r="X100" s="9" t="s">
        <v>1188</v>
      </c>
      <c r="Y100" s="9" t="s">
        <v>1152</v>
      </c>
      <c r="Z100" s="9" t="s">
        <v>1863</v>
      </c>
      <c r="AA100" s="9" t="s">
        <v>48</v>
      </c>
      <c r="AB100" s="9" t="s">
        <v>48</v>
      </c>
      <c r="AC100" s="9" t="s">
        <v>48</v>
      </c>
      <c r="AD100" s="9" t="s">
        <v>48</v>
      </c>
      <c r="AE100"/>
    </row>
    <row r="101" spans="1:31">
      <c r="A101" s="16">
        <v>97</v>
      </c>
      <c r="B101" s="6" t="s">
        <v>1864</v>
      </c>
      <c r="C101" s="7"/>
      <c r="D101" s="8"/>
      <c r="E101" s="8"/>
      <c r="F101" s="9" t="s">
        <v>1865</v>
      </c>
      <c r="G101" s="9" t="s">
        <v>76</v>
      </c>
      <c r="H101" s="9" t="s">
        <v>51</v>
      </c>
      <c r="I101" s="10" t="s">
        <v>1866</v>
      </c>
      <c r="J101" s="15" t="s">
        <v>982</v>
      </c>
      <c r="K101" s="9" t="s">
        <v>79</v>
      </c>
      <c r="L101" s="9" t="s">
        <v>1867</v>
      </c>
      <c r="M101" s="11">
        <v>2013</v>
      </c>
      <c r="N101" s="9" t="s">
        <v>1868</v>
      </c>
      <c r="O101" s="10" t="s">
        <v>1869</v>
      </c>
      <c r="P101" s="12" t="s">
        <v>38</v>
      </c>
      <c r="Q101" s="12" t="s">
        <v>987</v>
      </c>
      <c r="R101" s="9" t="s">
        <v>1870</v>
      </c>
      <c r="S101" s="9" t="s">
        <v>989</v>
      </c>
      <c r="T101" s="9" t="s">
        <v>990</v>
      </c>
      <c r="U101" s="9" t="s">
        <v>991</v>
      </c>
      <c r="V101" s="13" t="s">
        <v>1103</v>
      </c>
      <c r="W101" s="13" t="s">
        <v>44</v>
      </c>
      <c r="X101" s="9" t="s">
        <v>45</v>
      </c>
      <c r="Y101" s="9" t="s">
        <v>46</v>
      </c>
      <c r="Z101" s="9" t="s">
        <v>1871</v>
      </c>
      <c r="AA101" s="9" t="s">
        <v>48</v>
      </c>
      <c r="AB101" s="9" t="s">
        <v>48</v>
      </c>
      <c r="AC101" s="9" t="s">
        <v>48</v>
      </c>
      <c r="AD101" s="9" t="s">
        <v>48</v>
      </c>
      <c r="AE101"/>
    </row>
    <row r="102" spans="1:31" ht="30">
      <c r="A102" s="16">
        <v>98</v>
      </c>
      <c r="B102" s="6" t="s">
        <v>1872</v>
      </c>
      <c r="C102" s="7"/>
      <c r="D102" s="8"/>
      <c r="E102" s="8"/>
      <c r="F102" s="9" t="s">
        <v>1873</v>
      </c>
      <c r="G102" s="9" t="s">
        <v>76</v>
      </c>
      <c r="H102" s="9" t="s">
        <v>51</v>
      </c>
      <c r="I102" s="10" t="s">
        <v>1874</v>
      </c>
      <c r="J102" s="15" t="s">
        <v>34</v>
      </c>
      <c r="K102" s="9" t="s">
        <v>79</v>
      </c>
      <c r="L102" s="9" t="s">
        <v>1875</v>
      </c>
      <c r="M102" s="11">
        <v>2001</v>
      </c>
      <c r="N102" s="9" t="s">
        <v>48</v>
      </c>
      <c r="O102" s="9"/>
      <c r="P102" s="12" t="s">
        <v>1453</v>
      </c>
      <c r="Q102" s="12" t="s">
        <v>1876</v>
      </c>
      <c r="R102" s="9" t="s">
        <v>1877</v>
      </c>
      <c r="S102" s="9" t="s">
        <v>1878</v>
      </c>
      <c r="T102" s="9" t="s">
        <v>1879</v>
      </c>
      <c r="U102" s="9" t="s">
        <v>1087</v>
      </c>
      <c r="V102" s="13" t="s">
        <v>1385</v>
      </c>
      <c r="W102" s="13" t="s">
        <v>1880</v>
      </c>
      <c r="X102" s="9" t="s">
        <v>1370</v>
      </c>
      <c r="Y102" s="9" t="s">
        <v>48</v>
      </c>
      <c r="Z102" s="9" t="s">
        <v>48</v>
      </c>
      <c r="AA102" s="9" t="s">
        <v>48</v>
      </c>
      <c r="AB102" s="9" t="s">
        <v>48</v>
      </c>
      <c r="AC102" s="9" t="s">
        <v>48</v>
      </c>
      <c r="AD102" s="9" t="s">
        <v>48</v>
      </c>
      <c r="AE102"/>
    </row>
    <row r="103" spans="1:31">
      <c r="A103" s="16">
        <v>99</v>
      </c>
      <c r="B103" s="6" t="s">
        <v>1881</v>
      </c>
      <c r="C103" s="27" t="s">
        <v>1882</v>
      </c>
      <c r="D103" s="28" t="s">
        <v>1883</v>
      </c>
      <c r="E103" s="8" t="s">
        <v>1884</v>
      </c>
      <c r="F103" s="9" t="s">
        <v>1885</v>
      </c>
      <c r="G103" s="9" t="s">
        <v>76</v>
      </c>
      <c r="H103" s="9" t="s">
        <v>51</v>
      </c>
      <c r="I103" s="10" t="s">
        <v>1886</v>
      </c>
      <c r="J103" s="15" t="s">
        <v>982</v>
      </c>
      <c r="K103" s="9" t="s">
        <v>79</v>
      </c>
      <c r="L103" s="9" t="s">
        <v>1887</v>
      </c>
      <c r="M103" s="11">
        <v>2007</v>
      </c>
      <c r="N103" s="9" t="s">
        <v>1888</v>
      </c>
      <c r="O103" s="9" t="s">
        <v>1889</v>
      </c>
      <c r="P103" s="12" t="s">
        <v>1453</v>
      </c>
      <c r="Q103" s="12" t="s">
        <v>1890</v>
      </c>
      <c r="R103" s="9" t="s">
        <v>1891</v>
      </c>
      <c r="S103" s="9" t="s">
        <v>1085</v>
      </c>
      <c r="T103" s="9" t="s">
        <v>1892</v>
      </c>
      <c r="U103" s="9" t="s">
        <v>1087</v>
      </c>
      <c r="V103" s="13" t="s">
        <v>1237</v>
      </c>
      <c r="W103" s="13" t="s">
        <v>1089</v>
      </c>
      <c r="X103" s="9" t="s">
        <v>1370</v>
      </c>
      <c r="Y103" s="9" t="s">
        <v>1152</v>
      </c>
      <c r="Z103" s="9" t="s">
        <v>1893</v>
      </c>
      <c r="AA103" s="9" t="s">
        <v>48</v>
      </c>
      <c r="AB103" s="9" t="s">
        <v>48</v>
      </c>
      <c r="AC103" s="9" t="s">
        <v>48</v>
      </c>
      <c r="AD103" s="9" t="s">
        <v>48</v>
      </c>
      <c r="AE103"/>
    </row>
    <row r="104" spans="1:31">
      <c r="A104" s="16">
        <v>100</v>
      </c>
      <c r="B104" s="6" t="s">
        <v>1894</v>
      </c>
      <c r="C104" s="7"/>
      <c r="D104" s="8"/>
      <c r="E104" s="8"/>
      <c r="F104" s="9" t="s">
        <v>1895</v>
      </c>
      <c r="G104" s="9" t="s">
        <v>76</v>
      </c>
      <c r="H104" s="9" t="s">
        <v>51</v>
      </c>
      <c r="I104" s="10" t="s">
        <v>1896</v>
      </c>
      <c r="J104" s="15" t="s">
        <v>34</v>
      </c>
      <c r="K104" s="9" t="s">
        <v>79</v>
      </c>
      <c r="L104" s="9" t="s">
        <v>1875</v>
      </c>
      <c r="M104" s="11">
        <v>2008</v>
      </c>
      <c r="N104" s="9"/>
      <c r="O104" s="9"/>
      <c r="P104" s="12" t="s">
        <v>38</v>
      </c>
      <c r="Q104" s="12" t="s">
        <v>1146</v>
      </c>
      <c r="R104" s="9" t="s">
        <v>1897</v>
      </c>
      <c r="S104" s="9" t="s">
        <v>1085</v>
      </c>
      <c r="T104" s="9" t="s">
        <v>1898</v>
      </c>
      <c r="U104" s="9" t="s">
        <v>1149</v>
      </c>
      <c r="V104" s="13" t="s">
        <v>1150</v>
      </c>
      <c r="W104" s="13" t="s">
        <v>1138</v>
      </c>
      <c r="X104" s="9" t="s">
        <v>1151</v>
      </c>
      <c r="Y104" s="9" t="s">
        <v>1152</v>
      </c>
      <c r="Z104" s="9" t="s">
        <v>1899</v>
      </c>
      <c r="AA104" s="9" t="s">
        <v>48</v>
      </c>
      <c r="AB104" s="9" t="s">
        <v>48</v>
      </c>
      <c r="AC104" s="9" t="s">
        <v>48</v>
      </c>
      <c r="AD104" s="9" t="s">
        <v>48</v>
      </c>
      <c r="AE104"/>
    </row>
    <row r="105" spans="1:31">
      <c r="A105" s="16">
        <v>101</v>
      </c>
      <c r="B105" s="6" t="s">
        <v>1900</v>
      </c>
      <c r="C105" s="7"/>
      <c r="D105" s="8"/>
      <c r="E105" s="8"/>
      <c r="F105" s="9" t="s">
        <v>1901</v>
      </c>
      <c r="G105" s="9" t="s">
        <v>76</v>
      </c>
      <c r="H105" s="9" t="s">
        <v>51</v>
      </c>
      <c r="I105" s="10" t="s">
        <v>1902</v>
      </c>
      <c r="J105" s="15" t="s">
        <v>982</v>
      </c>
      <c r="K105" s="9" t="s">
        <v>79</v>
      </c>
      <c r="L105" s="9" t="s">
        <v>1887</v>
      </c>
      <c r="M105" s="11">
        <v>2012</v>
      </c>
      <c r="N105" s="9" t="s">
        <v>1903</v>
      </c>
      <c r="O105" s="9" t="s">
        <v>1904</v>
      </c>
      <c r="P105" s="12" t="s">
        <v>38</v>
      </c>
      <c r="Q105" s="12" t="s">
        <v>1905</v>
      </c>
      <c r="R105" s="9" t="s">
        <v>1906</v>
      </c>
      <c r="S105" s="9" t="s">
        <v>1085</v>
      </c>
      <c r="T105" s="9" t="s">
        <v>1907</v>
      </c>
      <c r="U105" s="9" t="s">
        <v>1908</v>
      </c>
      <c r="V105" s="13" t="s">
        <v>1103</v>
      </c>
      <c r="W105" s="13" t="s">
        <v>1773</v>
      </c>
      <c r="X105" s="9" t="s">
        <v>45</v>
      </c>
      <c r="Y105" s="9" t="s">
        <v>1116</v>
      </c>
      <c r="Z105" s="9" t="s">
        <v>1909</v>
      </c>
      <c r="AA105" s="9" t="s">
        <v>48</v>
      </c>
      <c r="AB105" s="9" t="s">
        <v>48</v>
      </c>
      <c r="AC105" s="9" t="s">
        <v>48</v>
      </c>
      <c r="AD105" s="9" t="s">
        <v>48</v>
      </c>
      <c r="AE105"/>
    </row>
    <row r="106" spans="1:31" ht="30">
      <c r="A106" s="16">
        <v>102</v>
      </c>
      <c r="B106" s="6" t="s">
        <v>1910</v>
      </c>
      <c r="C106" s="7"/>
      <c r="D106" s="8"/>
      <c r="E106" s="8"/>
      <c r="F106" s="9" t="s">
        <v>1911</v>
      </c>
      <c r="G106" s="9" t="s">
        <v>76</v>
      </c>
      <c r="H106" s="9" t="s">
        <v>51</v>
      </c>
      <c r="I106" s="10" t="s">
        <v>1912</v>
      </c>
      <c r="J106" s="15" t="s">
        <v>34</v>
      </c>
      <c r="K106" s="9" t="s">
        <v>79</v>
      </c>
      <c r="L106" s="9" t="s">
        <v>1913</v>
      </c>
      <c r="M106" s="11">
        <v>2007</v>
      </c>
      <c r="N106" s="9" t="s">
        <v>1914</v>
      </c>
      <c r="O106" s="9"/>
      <c r="P106" s="12" t="s">
        <v>38</v>
      </c>
      <c r="Q106" s="12" t="s">
        <v>1915</v>
      </c>
      <c r="R106" s="9" t="s">
        <v>1916</v>
      </c>
      <c r="S106" s="9" t="s">
        <v>1085</v>
      </c>
      <c r="T106" s="9" t="s">
        <v>1917</v>
      </c>
      <c r="U106" s="9" t="s">
        <v>1087</v>
      </c>
      <c r="V106" s="13" t="s">
        <v>1237</v>
      </c>
      <c r="W106" s="13" t="s">
        <v>1918</v>
      </c>
      <c r="X106" s="9" t="s">
        <v>1370</v>
      </c>
      <c r="Y106" s="9" t="s">
        <v>1139</v>
      </c>
      <c r="Z106" s="9" t="s">
        <v>1919</v>
      </c>
      <c r="AA106" s="9" t="s">
        <v>48</v>
      </c>
      <c r="AB106" s="9" t="s">
        <v>48</v>
      </c>
      <c r="AC106" s="9" t="s">
        <v>48</v>
      </c>
      <c r="AD106" s="9" t="s">
        <v>48</v>
      </c>
      <c r="AE106"/>
    </row>
    <row r="107" spans="1:31">
      <c r="A107" s="16">
        <v>103</v>
      </c>
      <c r="B107" s="6" t="s">
        <v>1920</v>
      </c>
      <c r="C107" s="7" t="s">
        <v>1226</v>
      </c>
      <c r="D107" s="16">
        <v>43</v>
      </c>
      <c r="E107" s="8" t="s">
        <v>1921</v>
      </c>
      <c r="F107" s="9" t="s">
        <v>1732</v>
      </c>
      <c r="G107" s="9" t="s">
        <v>76</v>
      </c>
      <c r="H107" s="9" t="s">
        <v>51</v>
      </c>
      <c r="I107" s="10" t="s">
        <v>1922</v>
      </c>
      <c r="J107" s="15" t="s">
        <v>1374</v>
      </c>
      <c r="K107" s="9" t="s">
        <v>79</v>
      </c>
      <c r="L107" s="9" t="s">
        <v>1804</v>
      </c>
      <c r="M107" s="11">
        <v>2010</v>
      </c>
      <c r="N107" s="9" t="s">
        <v>1923</v>
      </c>
      <c r="O107" s="10" t="s">
        <v>1924</v>
      </c>
      <c r="P107" s="12" t="s">
        <v>38</v>
      </c>
      <c r="Q107" s="12" t="s">
        <v>1109</v>
      </c>
      <c r="R107" s="9" t="s">
        <v>1925</v>
      </c>
      <c r="S107" s="9" t="s">
        <v>1085</v>
      </c>
      <c r="T107" s="9" t="s">
        <v>1926</v>
      </c>
      <c r="U107" s="9" t="s">
        <v>1161</v>
      </c>
      <c r="V107" s="13" t="s">
        <v>1114</v>
      </c>
      <c r="W107" s="13" t="s">
        <v>1115</v>
      </c>
      <c r="X107" s="9" t="s">
        <v>993</v>
      </c>
      <c r="Y107" s="9" t="s">
        <v>1116</v>
      </c>
      <c r="Z107" s="9" t="s">
        <v>1927</v>
      </c>
      <c r="AA107" s="9" t="s">
        <v>48</v>
      </c>
      <c r="AB107" s="9" t="s">
        <v>48</v>
      </c>
      <c r="AC107" s="9" t="s">
        <v>48</v>
      </c>
      <c r="AD107" s="9" t="s">
        <v>48</v>
      </c>
      <c r="AE107"/>
    </row>
    <row r="108" spans="1:31" ht="12.75" customHeight="1">
      <c r="A108" s="16">
        <v>104</v>
      </c>
      <c r="B108" s="6" t="s">
        <v>1928</v>
      </c>
      <c r="C108" s="7"/>
      <c r="D108" s="8"/>
      <c r="E108" s="8"/>
      <c r="F108" s="9" t="s">
        <v>1929</v>
      </c>
      <c r="G108" s="9" t="s">
        <v>76</v>
      </c>
      <c r="H108" s="9" t="s">
        <v>51</v>
      </c>
      <c r="I108" s="10" t="s">
        <v>1930</v>
      </c>
      <c r="J108" s="15" t="s">
        <v>982</v>
      </c>
      <c r="K108" s="9" t="s">
        <v>79</v>
      </c>
      <c r="L108" s="9" t="s">
        <v>1931</v>
      </c>
      <c r="M108" s="11">
        <v>2011</v>
      </c>
      <c r="N108" s="9" t="s">
        <v>1932</v>
      </c>
      <c r="O108" s="10" t="s">
        <v>1933</v>
      </c>
      <c r="P108" s="12" t="s">
        <v>38</v>
      </c>
      <c r="Q108" s="12" t="s">
        <v>1109</v>
      </c>
      <c r="R108" s="9" t="s">
        <v>1934</v>
      </c>
      <c r="S108" s="9" t="s">
        <v>1085</v>
      </c>
      <c r="T108" s="9" t="s">
        <v>1935</v>
      </c>
      <c r="U108" s="9" t="s">
        <v>1161</v>
      </c>
      <c r="V108" s="13" t="s">
        <v>1114</v>
      </c>
      <c r="W108" s="13" t="s">
        <v>1115</v>
      </c>
      <c r="X108" s="9" t="s">
        <v>993</v>
      </c>
      <c r="Y108" s="9" t="s">
        <v>1936</v>
      </c>
      <c r="Z108" s="9" t="s">
        <v>1937</v>
      </c>
      <c r="AA108" s="9" t="s">
        <v>48</v>
      </c>
      <c r="AB108" s="9" t="s">
        <v>48</v>
      </c>
      <c r="AC108" s="9" t="s">
        <v>48</v>
      </c>
      <c r="AD108" s="9" t="s">
        <v>48</v>
      </c>
      <c r="AE108"/>
    </row>
    <row r="109" spans="1:31">
      <c r="A109" s="16">
        <v>105</v>
      </c>
      <c r="B109" s="6" t="s">
        <v>1938</v>
      </c>
      <c r="C109" s="7"/>
      <c r="D109" s="8"/>
      <c r="E109" s="8"/>
      <c r="F109" s="9" t="s">
        <v>1939</v>
      </c>
      <c r="G109" s="9" t="s">
        <v>76</v>
      </c>
      <c r="H109" s="9" t="s">
        <v>51</v>
      </c>
      <c r="I109" s="10" t="s">
        <v>1940</v>
      </c>
      <c r="J109" s="15" t="s">
        <v>982</v>
      </c>
      <c r="K109" s="9" t="s">
        <v>79</v>
      </c>
      <c r="L109" s="9" t="s">
        <v>1804</v>
      </c>
      <c r="M109" s="11">
        <v>2012</v>
      </c>
      <c r="N109" s="9" t="s">
        <v>1941</v>
      </c>
      <c r="O109" s="10" t="s">
        <v>1942</v>
      </c>
      <c r="P109" s="12" t="s">
        <v>38</v>
      </c>
      <c r="Q109" s="12" t="s">
        <v>1943</v>
      </c>
      <c r="R109" s="9" t="s">
        <v>1944</v>
      </c>
      <c r="S109" s="9" t="s">
        <v>1085</v>
      </c>
      <c r="T109" s="9" t="s">
        <v>1945</v>
      </c>
      <c r="U109" s="9" t="s">
        <v>1908</v>
      </c>
      <c r="V109" s="13" t="s">
        <v>1103</v>
      </c>
      <c r="W109" s="13" t="s">
        <v>1773</v>
      </c>
      <c r="X109" s="9" t="s">
        <v>993</v>
      </c>
      <c r="Y109" s="9" t="s">
        <v>1116</v>
      </c>
      <c r="Z109" s="9" t="s">
        <v>1946</v>
      </c>
      <c r="AA109" s="9" t="s">
        <v>48</v>
      </c>
      <c r="AB109" s="9" t="s">
        <v>48</v>
      </c>
      <c r="AC109" s="9" t="s">
        <v>48</v>
      </c>
      <c r="AD109" s="9" t="s">
        <v>48</v>
      </c>
      <c r="AE109"/>
    </row>
    <row r="110" spans="1:31" ht="18" customHeight="1">
      <c r="A110" s="16">
        <v>106</v>
      </c>
      <c r="B110" s="6" t="s">
        <v>1947</v>
      </c>
      <c r="C110" s="7"/>
      <c r="D110" s="8"/>
      <c r="E110" s="8"/>
      <c r="F110" s="9" t="s">
        <v>1948</v>
      </c>
      <c r="G110" s="9" t="s">
        <v>76</v>
      </c>
      <c r="H110" s="9" t="s">
        <v>51</v>
      </c>
      <c r="I110" s="10" t="s">
        <v>1949</v>
      </c>
      <c r="J110" s="15" t="s">
        <v>982</v>
      </c>
      <c r="K110" s="9" t="s">
        <v>79</v>
      </c>
      <c r="L110" s="9" t="s">
        <v>1804</v>
      </c>
      <c r="M110" s="11">
        <v>2016</v>
      </c>
      <c r="N110" s="9" t="s">
        <v>1950</v>
      </c>
      <c r="O110" s="10" t="s">
        <v>1951</v>
      </c>
      <c r="P110" s="12" t="s">
        <v>38</v>
      </c>
      <c r="Q110" s="12" t="s">
        <v>1495</v>
      </c>
      <c r="R110" s="9" t="s">
        <v>1952</v>
      </c>
      <c r="S110" s="9" t="s">
        <v>1003</v>
      </c>
      <c r="T110" s="9"/>
      <c r="U110" s="9"/>
      <c r="V110" s="13"/>
      <c r="W110" s="13"/>
      <c r="X110" s="9"/>
      <c r="Y110" s="9" t="s">
        <v>88</v>
      </c>
      <c r="Z110" s="9" t="s">
        <v>1953</v>
      </c>
      <c r="AA110" s="9" t="s">
        <v>48</v>
      </c>
      <c r="AB110" s="9" t="s">
        <v>48</v>
      </c>
      <c r="AC110" s="9" t="s">
        <v>48</v>
      </c>
      <c r="AD110" s="9" t="s">
        <v>48</v>
      </c>
      <c r="AE110"/>
    </row>
    <row r="111" spans="1:31">
      <c r="A111" s="16">
        <v>107</v>
      </c>
      <c r="B111" s="6" t="s">
        <v>1954</v>
      </c>
      <c r="C111" s="7"/>
      <c r="D111" s="8"/>
      <c r="E111" s="8"/>
      <c r="F111" t="s">
        <v>1955</v>
      </c>
      <c r="G111" s="9" t="s">
        <v>76</v>
      </c>
      <c r="H111" s="9" t="s">
        <v>51</v>
      </c>
      <c r="I111" s="10" t="s">
        <v>1956</v>
      </c>
      <c r="J111" s="15" t="s">
        <v>982</v>
      </c>
      <c r="K111" s="9" t="s">
        <v>79</v>
      </c>
      <c r="L111" s="9" t="s">
        <v>1867</v>
      </c>
      <c r="M111" s="11">
        <v>42705</v>
      </c>
      <c r="N111" s="9"/>
      <c r="O111" s="9" t="s">
        <v>1957</v>
      </c>
      <c r="P111" t="s">
        <v>56</v>
      </c>
      <c r="Q111" t="s">
        <v>57</v>
      </c>
      <c r="R111" t="s">
        <v>1958</v>
      </c>
      <c r="S111" s="9" t="s">
        <v>1003</v>
      </c>
      <c r="T111" s="32" t="s">
        <v>1959</v>
      </c>
      <c r="U111" s="9" t="s">
        <v>61</v>
      </c>
      <c r="V111" s="32" t="s">
        <v>1025</v>
      </c>
      <c r="W111" s="32" t="s">
        <v>62</v>
      </c>
      <c r="X111" s="9" t="s">
        <v>45</v>
      </c>
      <c r="Y111" s="9" t="s">
        <v>88</v>
      </c>
      <c r="Z111" s="9" t="s">
        <v>581</v>
      </c>
      <c r="AA111" s="9" t="s">
        <v>48</v>
      </c>
      <c r="AB111" s="9" t="s">
        <v>48</v>
      </c>
      <c r="AC111" s="9" t="s">
        <v>48</v>
      </c>
      <c r="AD111" s="9" t="s">
        <v>48</v>
      </c>
      <c r="AE111"/>
    </row>
    <row r="112" spans="1:31">
      <c r="A112" s="16">
        <v>108</v>
      </c>
      <c r="B112" s="6" t="s">
        <v>1960</v>
      </c>
      <c r="C112" s="7"/>
      <c r="D112" s="8"/>
      <c r="E112" s="8"/>
      <c r="F112" s="9" t="s">
        <v>1961</v>
      </c>
      <c r="G112" s="9" t="s">
        <v>76</v>
      </c>
      <c r="H112" s="9" t="s">
        <v>51</v>
      </c>
      <c r="I112" s="10" t="s">
        <v>1962</v>
      </c>
      <c r="J112" s="15" t="s">
        <v>982</v>
      </c>
      <c r="K112" s="9" t="s">
        <v>79</v>
      </c>
      <c r="L112" s="9" t="s">
        <v>1804</v>
      </c>
      <c r="M112" s="11">
        <v>42705</v>
      </c>
      <c r="N112" s="9" t="s">
        <v>1963</v>
      </c>
      <c r="O112" s="10" t="s">
        <v>1964</v>
      </c>
      <c r="P112" s="12" t="s">
        <v>56</v>
      </c>
      <c r="Q112" s="12" t="s">
        <v>57</v>
      </c>
      <c r="R112" s="9" t="s">
        <v>1965</v>
      </c>
      <c r="S112" s="9" t="s">
        <v>1003</v>
      </c>
      <c r="T112" s="32" t="s">
        <v>1966</v>
      </c>
      <c r="U112" s="9" t="s">
        <v>61</v>
      </c>
      <c r="V112" s="32" t="s">
        <v>1025</v>
      </c>
      <c r="W112" s="32" t="s">
        <v>62</v>
      </c>
      <c r="X112" s="9" t="s">
        <v>45</v>
      </c>
      <c r="Y112" s="9" t="s">
        <v>88</v>
      </c>
      <c r="Z112" s="32" t="s">
        <v>569</v>
      </c>
      <c r="AA112" s="9" t="s">
        <v>48</v>
      </c>
      <c r="AB112" s="9" t="s">
        <v>48</v>
      </c>
      <c r="AC112" s="9" t="s">
        <v>48</v>
      </c>
      <c r="AD112" s="9" t="s">
        <v>48</v>
      </c>
      <c r="AE112"/>
    </row>
    <row r="113" spans="1:31">
      <c r="A113" s="16">
        <v>109</v>
      </c>
      <c r="B113" s="6" t="s">
        <v>1967</v>
      </c>
      <c r="C113" s="7"/>
      <c r="D113" s="8"/>
      <c r="E113" s="8"/>
      <c r="F113" s="9" t="s">
        <v>1968</v>
      </c>
      <c r="G113" s="9" t="s">
        <v>76</v>
      </c>
      <c r="H113" s="9" t="s">
        <v>51</v>
      </c>
      <c r="I113" s="10" t="s">
        <v>1969</v>
      </c>
      <c r="J113" s="15" t="s">
        <v>982</v>
      </c>
      <c r="K113" s="9" t="s">
        <v>79</v>
      </c>
      <c r="L113" s="9" t="s">
        <v>1804</v>
      </c>
      <c r="M113" s="11">
        <v>42705</v>
      </c>
      <c r="N113" s="9"/>
      <c r="O113" s="10"/>
      <c r="P113" s="12" t="s">
        <v>56</v>
      </c>
      <c r="Q113" s="12" t="s">
        <v>57</v>
      </c>
      <c r="R113" s="9" t="s">
        <v>1970</v>
      </c>
      <c r="S113" s="9" t="s">
        <v>41</v>
      </c>
      <c r="T113" s="32" t="s">
        <v>1971</v>
      </c>
      <c r="U113" s="9" t="s">
        <v>61</v>
      </c>
      <c r="V113" s="32" t="s">
        <v>1972</v>
      </c>
      <c r="W113" s="32" t="s">
        <v>62</v>
      </c>
      <c r="X113" s="9" t="s">
        <v>45</v>
      </c>
      <c r="Y113" s="9" t="s">
        <v>88</v>
      </c>
      <c r="Z113" s="32" t="s">
        <v>1973</v>
      </c>
      <c r="AA113" s="9" t="s">
        <v>48</v>
      </c>
      <c r="AB113" s="9" t="s">
        <v>48</v>
      </c>
      <c r="AC113" s="9" t="s">
        <v>48</v>
      </c>
      <c r="AD113" s="9" t="s">
        <v>48</v>
      </c>
      <c r="AE113"/>
    </row>
    <row r="114" spans="1:31">
      <c r="A114" s="16">
        <v>110</v>
      </c>
      <c r="B114" s="6" t="s">
        <v>1974</v>
      </c>
      <c r="C114" s="7"/>
      <c r="D114" s="8"/>
      <c r="E114" s="8"/>
      <c r="F114" s="9" t="s">
        <v>1975</v>
      </c>
      <c r="G114" s="9" t="s">
        <v>76</v>
      </c>
      <c r="H114" s="9" t="s">
        <v>51</v>
      </c>
      <c r="I114" s="10" t="s">
        <v>1976</v>
      </c>
      <c r="J114" s="15" t="s">
        <v>982</v>
      </c>
      <c r="K114" s="9" t="s">
        <v>79</v>
      </c>
      <c r="L114" s="9" t="s">
        <v>1804</v>
      </c>
      <c r="M114" s="11">
        <v>42705</v>
      </c>
      <c r="N114" s="9" t="s">
        <v>1977</v>
      </c>
      <c r="O114" s="9" t="s">
        <v>1978</v>
      </c>
      <c r="P114" s="12" t="s">
        <v>56</v>
      </c>
      <c r="Q114" s="12" t="s">
        <v>57</v>
      </c>
      <c r="R114" s="9" t="s">
        <v>1979</v>
      </c>
      <c r="S114" s="9" t="s">
        <v>1003</v>
      </c>
      <c r="T114" s="32" t="s">
        <v>1980</v>
      </c>
      <c r="U114" s="9" t="s">
        <v>61</v>
      </c>
      <c r="V114" s="32" t="s">
        <v>1025</v>
      </c>
      <c r="W114" s="32" t="s">
        <v>62</v>
      </c>
      <c r="X114" s="9" t="s">
        <v>45</v>
      </c>
      <c r="Y114" s="9" t="s">
        <v>88</v>
      </c>
      <c r="Z114" s="9" t="s">
        <v>1981</v>
      </c>
      <c r="AA114" s="9" t="s">
        <v>48</v>
      </c>
      <c r="AB114" s="9" t="s">
        <v>48</v>
      </c>
      <c r="AC114" s="9" t="s">
        <v>48</v>
      </c>
      <c r="AD114" s="9" t="s">
        <v>48</v>
      </c>
      <c r="AE114"/>
    </row>
    <row r="115" spans="1:31">
      <c r="A115" s="16">
        <v>111</v>
      </c>
      <c r="B115" s="6" t="s">
        <v>1982</v>
      </c>
      <c r="C115" s="7"/>
      <c r="D115" s="8"/>
      <c r="E115" s="8"/>
      <c r="F115" s="9" t="s">
        <v>1983</v>
      </c>
      <c r="G115" s="9" t="s">
        <v>76</v>
      </c>
      <c r="H115" s="9" t="s">
        <v>51</v>
      </c>
      <c r="I115" s="10" t="s">
        <v>1984</v>
      </c>
      <c r="J115" s="15" t="s">
        <v>982</v>
      </c>
      <c r="K115" s="9" t="s">
        <v>79</v>
      </c>
      <c r="L115" s="9" t="s">
        <v>1804</v>
      </c>
      <c r="M115" s="11">
        <v>42705</v>
      </c>
      <c r="N115" s="9" t="s">
        <v>1985</v>
      </c>
      <c r="O115" s="10" t="s">
        <v>1986</v>
      </c>
      <c r="P115" s="12" t="s">
        <v>56</v>
      </c>
      <c r="Q115" s="12" t="s">
        <v>57</v>
      </c>
      <c r="R115" s="9" t="s">
        <v>1987</v>
      </c>
      <c r="S115" s="9" t="s">
        <v>1003</v>
      </c>
      <c r="T115" s="32" t="s">
        <v>1988</v>
      </c>
      <c r="U115" s="9" t="s">
        <v>61</v>
      </c>
      <c r="V115" s="32" t="s">
        <v>1025</v>
      </c>
      <c r="W115" s="32" t="s">
        <v>62</v>
      </c>
      <c r="X115" s="9" t="s">
        <v>45</v>
      </c>
      <c r="Y115" s="9" t="s">
        <v>88</v>
      </c>
      <c r="Z115" s="9" t="s">
        <v>1989</v>
      </c>
      <c r="AA115" s="9" t="s">
        <v>48</v>
      </c>
      <c r="AB115" s="9" t="s">
        <v>48</v>
      </c>
      <c r="AC115" s="9" t="s">
        <v>48</v>
      </c>
      <c r="AD115" s="9" t="s">
        <v>48</v>
      </c>
      <c r="AE115"/>
    </row>
    <row r="116" spans="1:31">
      <c r="A116" s="16">
        <v>112</v>
      </c>
      <c r="B116" s="22" t="s">
        <v>1990</v>
      </c>
      <c r="C116" s="6"/>
      <c r="D116" s="16"/>
      <c r="E116" s="16"/>
      <c r="F116" s="10" t="s">
        <v>1991</v>
      </c>
      <c r="G116" s="10" t="s">
        <v>76</v>
      </c>
      <c r="H116" s="10" t="s">
        <v>32</v>
      </c>
      <c r="I116" s="10" t="s">
        <v>1992</v>
      </c>
      <c r="J116" s="15" t="s">
        <v>982</v>
      </c>
      <c r="K116" s="10" t="s">
        <v>79</v>
      </c>
      <c r="L116" s="10" t="s">
        <v>1804</v>
      </c>
      <c r="M116" s="11">
        <v>43191</v>
      </c>
      <c r="N116" s="10" t="s">
        <v>1993</v>
      </c>
      <c r="O116" s="10" t="s">
        <v>1994</v>
      </c>
      <c r="P116" s="10" t="s">
        <v>38</v>
      </c>
      <c r="Q116" s="10" t="s">
        <v>103</v>
      </c>
      <c r="R116" s="10" t="s">
        <v>113</v>
      </c>
      <c r="S116" s="10" t="s">
        <v>1062</v>
      </c>
      <c r="T116" s="10" t="s">
        <v>114</v>
      </c>
      <c r="U116" s="10" t="s">
        <v>106</v>
      </c>
      <c r="V116" s="10" t="s">
        <v>1221</v>
      </c>
      <c r="W116" s="10" t="s">
        <v>107</v>
      </c>
      <c r="X116" s="10" t="s">
        <v>45</v>
      </c>
      <c r="Y116" s="10" t="s">
        <v>88</v>
      </c>
      <c r="Z116" s="10" t="s">
        <v>115</v>
      </c>
      <c r="AA116" s="10" t="s">
        <v>48</v>
      </c>
      <c r="AB116" s="10" t="s">
        <v>48</v>
      </c>
      <c r="AC116" s="10" t="s">
        <v>48</v>
      </c>
      <c r="AD116" s="10" t="s">
        <v>48</v>
      </c>
      <c r="AE116"/>
    </row>
    <row r="117" spans="1:31">
      <c r="A117" s="16">
        <v>113</v>
      </c>
      <c r="B117" s="6" t="s">
        <v>1995</v>
      </c>
      <c r="C117" s="7"/>
      <c r="D117" s="8"/>
      <c r="E117" s="8"/>
      <c r="F117" s="9" t="s">
        <v>1996</v>
      </c>
      <c r="G117" s="9" t="s">
        <v>76</v>
      </c>
      <c r="H117" s="9" t="s">
        <v>51</v>
      </c>
      <c r="I117" s="10" t="s">
        <v>79</v>
      </c>
      <c r="J117" s="15" t="s">
        <v>982</v>
      </c>
      <c r="K117" s="9" t="s">
        <v>1997</v>
      </c>
      <c r="L117" s="9" t="s">
        <v>1804</v>
      </c>
      <c r="M117" s="11">
        <v>2007</v>
      </c>
      <c r="N117" s="9" t="s">
        <v>1998</v>
      </c>
      <c r="O117" s="9" t="s">
        <v>1999</v>
      </c>
      <c r="P117" s="12" t="s">
        <v>38</v>
      </c>
      <c r="Q117" s="12" t="s">
        <v>1360</v>
      </c>
      <c r="R117" s="9" t="s">
        <v>2000</v>
      </c>
      <c r="S117" s="9" t="s">
        <v>1085</v>
      </c>
      <c r="T117" s="9" t="s">
        <v>2001</v>
      </c>
      <c r="U117" s="9" t="s">
        <v>2002</v>
      </c>
      <c r="V117" s="13" t="s">
        <v>1363</v>
      </c>
      <c r="W117" s="13" t="s">
        <v>1138</v>
      </c>
      <c r="X117" s="9" t="s">
        <v>1370</v>
      </c>
      <c r="Y117" s="9" t="s">
        <v>1139</v>
      </c>
      <c r="Z117" s="9" t="s">
        <v>2003</v>
      </c>
      <c r="AA117" s="9" t="s">
        <v>48</v>
      </c>
      <c r="AB117" s="9" t="s">
        <v>48</v>
      </c>
      <c r="AC117" s="9" t="s">
        <v>48</v>
      </c>
      <c r="AD117" s="9" t="s">
        <v>48</v>
      </c>
      <c r="AE117"/>
    </row>
    <row r="118" spans="1:31">
      <c r="A118" s="16">
        <v>114</v>
      </c>
      <c r="B118" s="22" t="s">
        <v>2004</v>
      </c>
      <c r="C118" s="34" t="s">
        <v>1610</v>
      </c>
      <c r="D118" s="35" t="s">
        <v>2005</v>
      </c>
      <c r="E118" s="33" t="s">
        <v>1645</v>
      </c>
      <c r="F118" s="10" t="s">
        <v>2006</v>
      </c>
      <c r="G118" s="10" t="s">
        <v>76</v>
      </c>
      <c r="H118" s="10" t="s">
        <v>32</v>
      </c>
      <c r="I118" s="10" t="s">
        <v>2007</v>
      </c>
      <c r="J118" s="15" t="s">
        <v>982</v>
      </c>
      <c r="K118" s="10" t="s">
        <v>79</v>
      </c>
      <c r="L118" s="9" t="s">
        <v>1804</v>
      </c>
      <c r="M118" s="11">
        <v>42976</v>
      </c>
      <c r="N118" s="9" t="s">
        <v>2008</v>
      </c>
      <c r="O118" s="10" t="s">
        <v>2009</v>
      </c>
      <c r="P118" s="10" t="s">
        <v>38</v>
      </c>
      <c r="Q118" s="10" t="s">
        <v>67</v>
      </c>
      <c r="R118" s="10" t="s">
        <v>2010</v>
      </c>
      <c r="S118" s="10" t="s">
        <v>1062</v>
      </c>
      <c r="T118" s="10" t="s">
        <v>2011</v>
      </c>
      <c r="U118" s="10" t="s">
        <v>70</v>
      </c>
      <c r="V118" s="10" t="s">
        <v>1025</v>
      </c>
      <c r="W118" s="10" t="s">
        <v>62</v>
      </c>
      <c r="X118" s="10" t="s">
        <v>87</v>
      </c>
      <c r="Y118" s="10" t="s">
        <v>88</v>
      </c>
      <c r="Z118" s="10" t="s">
        <v>2012</v>
      </c>
      <c r="AA118" s="10" t="s">
        <v>48</v>
      </c>
      <c r="AB118" s="10" t="s">
        <v>48</v>
      </c>
      <c r="AC118" s="10" t="s">
        <v>48</v>
      </c>
      <c r="AD118" s="10" t="s">
        <v>48</v>
      </c>
      <c r="AE118"/>
    </row>
    <row r="119" spans="1:31">
      <c r="A119" s="16">
        <v>115</v>
      </c>
      <c r="B119" s="6" t="s">
        <v>2013</v>
      </c>
      <c r="C119" s="7"/>
      <c r="D119" s="8"/>
      <c r="E119" s="8"/>
      <c r="F119" s="9" t="s">
        <v>2014</v>
      </c>
      <c r="G119" s="9" t="s">
        <v>76</v>
      </c>
      <c r="H119" s="9" t="s">
        <v>51</v>
      </c>
      <c r="I119" s="10" t="s">
        <v>2015</v>
      </c>
      <c r="J119" s="15" t="s">
        <v>982</v>
      </c>
      <c r="K119" s="9" t="s">
        <v>2016</v>
      </c>
      <c r="L119" s="9" t="s">
        <v>2017</v>
      </c>
      <c r="M119" s="11">
        <v>2009</v>
      </c>
      <c r="N119" s="9" t="s">
        <v>2018</v>
      </c>
      <c r="O119" s="9" t="s">
        <v>2019</v>
      </c>
      <c r="P119" s="12" t="s">
        <v>38</v>
      </c>
      <c r="Q119" s="12" t="s">
        <v>1158</v>
      </c>
      <c r="R119" s="9" t="s">
        <v>2020</v>
      </c>
      <c r="S119" s="9" t="s">
        <v>1085</v>
      </c>
      <c r="T119" s="9" t="s">
        <v>2021</v>
      </c>
      <c r="U119" s="9" t="s">
        <v>1186</v>
      </c>
      <c r="V119" s="13" t="s">
        <v>1187</v>
      </c>
      <c r="W119" s="13" t="s">
        <v>1138</v>
      </c>
      <c r="X119" s="9" t="s">
        <v>1267</v>
      </c>
      <c r="Y119" s="9" t="s">
        <v>1152</v>
      </c>
      <c r="Z119" s="9" t="s">
        <v>2022</v>
      </c>
      <c r="AA119" s="9" t="s">
        <v>48</v>
      </c>
      <c r="AB119" s="9" t="s">
        <v>48</v>
      </c>
      <c r="AC119" s="9" t="s">
        <v>48</v>
      </c>
      <c r="AD119" s="9" t="s">
        <v>48</v>
      </c>
      <c r="AE119"/>
    </row>
    <row r="120" spans="1:31">
      <c r="A120" s="16">
        <v>116</v>
      </c>
      <c r="B120" s="6" t="s">
        <v>2023</v>
      </c>
      <c r="C120" s="7"/>
      <c r="D120" s="8"/>
      <c r="E120" s="8"/>
      <c r="F120" s="9" t="s">
        <v>2024</v>
      </c>
      <c r="G120" s="9" t="s">
        <v>76</v>
      </c>
      <c r="H120" s="9" t="s">
        <v>51</v>
      </c>
      <c r="I120" s="10" t="s">
        <v>308</v>
      </c>
      <c r="J120" s="15" t="s">
        <v>982</v>
      </c>
      <c r="K120" s="9" t="s">
        <v>2016</v>
      </c>
      <c r="L120" s="9" t="s">
        <v>2017</v>
      </c>
      <c r="M120" s="11">
        <v>42705</v>
      </c>
      <c r="N120" s="9"/>
      <c r="O120" s="9"/>
      <c r="P120" s="12" t="s">
        <v>56</v>
      </c>
      <c r="Q120" s="12" t="s">
        <v>57</v>
      </c>
      <c r="R120" s="9" t="s">
        <v>2025</v>
      </c>
      <c r="S120" s="9" t="s">
        <v>1003</v>
      </c>
      <c r="T120" s="13" t="s">
        <v>2026</v>
      </c>
      <c r="U120" s="9" t="s">
        <v>61</v>
      </c>
      <c r="V120" s="32" t="s">
        <v>1025</v>
      </c>
      <c r="W120" s="32" t="s">
        <v>62</v>
      </c>
      <c r="X120" s="9" t="s">
        <v>45</v>
      </c>
      <c r="Y120" s="9" t="s">
        <v>88</v>
      </c>
      <c r="Z120" s="13" t="s">
        <v>2027</v>
      </c>
      <c r="AA120" s="9" t="s">
        <v>48</v>
      </c>
      <c r="AB120" s="9" t="s">
        <v>48</v>
      </c>
      <c r="AC120" s="9" t="s">
        <v>48</v>
      </c>
      <c r="AD120" s="9" t="s">
        <v>48</v>
      </c>
      <c r="AE120"/>
    </row>
    <row r="121" spans="1:31">
      <c r="A121" s="16">
        <v>117</v>
      </c>
      <c r="B121" s="6" t="s">
        <v>2028</v>
      </c>
      <c r="C121" s="7"/>
      <c r="D121" s="8"/>
      <c r="E121" s="8"/>
      <c r="F121" s="9" t="s">
        <v>2029</v>
      </c>
      <c r="G121" s="9" t="s">
        <v>76</v>
      </c>
      <c r="H121" s="9" t="s">
        <v>51</v>
      </c>
      <c r="I121" s="10" t="s">
        <v>714</v>
      </c>
      <c r="J121" s="15" t="s">
        <v>982</v>
      </c>
      <c r="K121" s="9" t="s">
        <v>2016</v>
      </c>
      <c r="L121" s="9" t="s">
        <v>2017</v>
      </c>
      <c r="M121" s="11">
        <v>42705</v>
      </c>
      <c r="N121" s="9" t="s">
        <v>2030</v>
      </c>
      <c r="O121" s="9" t="s">
        <v>2031</v>
      </c>
      <c r="P121" s="12" t="s">
        <v>56</v>
      </c>
      <c r="Q121" s="12" t="s">
        <v>57</v>
      </c>
      <c r="R121" s="9" t="s">
        <v>2032</v>
      </c>
      <c r="S121" s="9" t="s">
        <v>1003</v>
      </c>
      <c r="T121" s="13" t="s">
        <v>2033</v>
      </c>
      <c r="U121" s="9" t="s">
        <v>61</v>
      </c>
      <c r="V121" s="32" t="s">
        <v>1025</v>
      </c>
      <c r="W121" s="32" t="s">
        <v>62</v>
      </c>
      <c r="X121" s="9" t="s">
        <v>45</v>
      </c>
      <c r="Y121" s="9" t="s">
        <v>88</v>
      </c>
      <c r="Z121" s="13" t="s">
        <v>2034</v>
      </c>
      <c r="AA121" s="9" t="s">
        <v>48</v>
      </c>
      <c r="AB121" s="9" t="s">
        <v>48</v>
      </c>
      <c r="AC121" s="9" t="s">
        <v>48</v>
      </c>
      <c r="AD121" s="9" t="s">
        <v>48</v>
      </c>
      <c r="AE121"/>
    </row>
    <row r="122" spans="1:31">
      <c r="A122" s="16">
        <v>118</v>
      </c>
      <c r="B122" s="22" t="s">
        <v>2035</v>
      </c>
      <c r="C122" s="20"/>
      <c r="D122" s="16"/>
      <c r="E122" s="16"/>
      <c r="F122" s="10" t="s">
        <v>2036</v>
      </c>
      <c r="G122" s="10" t="s">
        <v>76</v>
      </c>
      <c r="H122" s="9" t="s">
        <v>51</v>
      </c>
      <c r="I122" s="10" t="s">
        <v>2037</v>
      </c>
      <c r="J122" s="15" t="s">
        <v>982</v>
      </c>
      <c r="K122" s="10" t="s">
        <v>2038</v>
      </c>
      <c r="L122" s="10" t="s">
        <v>1193</v>
      </c>
      <c r="M122" s="11">
        <v>43220</v>
      </c>
      <c r="N122" s="10" t="s">
        <v>2039</v>
      </c>
      <c r="O122" s="10" t="s">
        <v>2040</v>
      </c>
      <c r="P122" s="10" t="s">
        <v>56</v>
      </c>
      <c r="Q122" s="10" t="s">
        <v>121</v>
      </c>
      <c r="R122" s="10" t="s">
        <v>2041</v>
      </c>
      <c r="S122" s="10" t="s">
        <v>1062</v>
      </c>
      <c r="T122" s="10" t="s">
        <v>2042</v>
      </c>
      <c r="U122" s="10" t="s">
        <v>124</v>
      </c>
      <c r="V122" s="10" t="s">
        <v>1075</v>
      </c>
      <c r="W122" s="10" t="s">
        <v>62</v>
      </c>
      <c r="X122" s="10" t="s">
        <v>98</v>
      </c>
      <c r="Y122" s="10" t="s">
        <v>88</v>
      </c>
      <c r="Z122" s="10" t="s">
        <v>348</v>
      </c>
      <c r="AA122" s="10" t="s">
        <v>48</v>
      </c>
      <c r="AB122" s="10" t="s">
        <v>48</v>
      </c>
      <c r="AC122" s="10" t="s">
        <v>48</v>
      </c>
      <c r="AD122" s="10" t="s">
        <v>48</v>
      </c>
      <c r="AE122"/>
    </row>
    <row r="123" spans="1:31">
      <c r="A123" s="16">
        <v>119</v>
      </c>
      <c r="B123" s="5" t="s">
        <v>2043</v>
      </c>
      <c r="F123" s="2" t="s">
        <v>2044</v>
      </c>
      <c r="G123" s="2" t="s">
        <v>76</v>
      </c>
      <c r="H123" s="9" t="s">
        <v>51</v>
      </c>
      <c r="I123" s="2" t="s">
        <v>2045</v>
      </c>
      <c r="J123" s="14" t="s">
        <v>982</v>
      </c>
      <c r="K123" s="2" t="s">
        <v>53</v>
      </c>
      <c r="L123" s="2" t="s">
        <v>984</v>
      </c>
      <c r="M123" s="3" t="s">
        <v>1832</v>
      </c>
      <c r="N123" s="2" t="s">
        <v>2046</v>
      </c>
      <c r="O123" s="2" t="s">
        <v>176</v>
      </c>
      <c r="P123" s="2" t="s">
        <v>94</v>
      </c>
      <c r="Q123" s="2" t="s">
        <v>2047</v>
      </c>
      <c r="AE123"/>
    </row>
    <row r="124" spans="1:31">
      <c r="A124" s="16">
        <v>120</v>
      </c>
      <c r="B124" s="6" t="s">
        <v>2048</v>
      </c>
      <c r="C124" s="7"/>
      <c r="D124" s="8"/>
      <c r="E124" s="8"/>
      <c r="F124" s="9" t="s">
        <v>2049</v>
      </c>
      <c r="G124" s="9" t="s">
        <v>76</v>
      </c>
      <c r="H124" s="9" t="s">
        <v>32</v>
      </c>
      <c r="I124" s="10" t="s">
        <v>2050</v>
      </c>
      <c r="J124" s="15" t="s">
        <v>982</v>
      </c>
      <c r="K124" s="9" t="s">
        <v>53</v>
      </c>
      <c r="L124" s="9" t="s">
        <v>984</v>
      </c>
      <c r="M124" s="11">
        <v>42705</v>
      </c>
      <c r="N124" s="30" t="s">
        <v>74</v>
      </c>
      <c r="O124" s="29" t="s">
        <v>2051</v>
      </c>
      <c r="P124" s="12" t="s">
        <v>38</v>
      </c>
      <c r="Q124" s="12" t="s">
        <v>1445</v>
      </c>
      <c r="R124" s="9" t="s">
        <v>2052</v>
      </c>
      <c r="S124" s="9" t="s">
        <v>1447</v>
      </c>
      <c r="T124" s="9" t="s">
        <v>2053</v>
      </c>
      <c r="U124" s="9" t="s">
        <v>2054</v>
      </c>
      <c r="V124" s="13" t="s">
        <v>2055</v>
      </c>
      <c r="W124" s="13" t="s">
        <v>62</v>
      </c>
      <c r="X124" s="9" t="s">
        <v>2056</v>
      </c>
      <c r="Y124" s="9" t="s">
        <v>48</v>
      </c>
      <c r="Z124" s="9" t="s">
        <v>48</v>
      </c>
      <c r="AA124" s="9" t="s">
        <v>48</v>
      </c>
      <c r="AB124" s="9" t="s">
        <v>48</v>
      </c>
      <c r="AC124" s="9" t="s">
        <v>48</v>
      </c>
      <c r="AD124" s="9" t="s">
        <v>48</v>
      </c>
      <c r="AE124"/>
    </row>
    <row r="125" spans="1:31">
      <c r="A125" s="16">
        <v>121</v>
      </c>
      <c r="B125" s="6" t="s">
        <v>2057</v>
      </c>
      <c r="C125" s="6" t="s">
        <v>1536</v>
      </c>
      <c r="D125" s="16">
        <v>41</v>
      </c>
      <c r="E125" s="16" t="s">
        <v>2058</v>
      </c>
      <c r="F125" s="9" t="s">
        <v>1975</v>
      </c>
      <c r="G125" s="9" t="s">
        <v>76</v>
      </c>
      <c r="H125" s="9" t="s">
        <v>51</v>
      </c>
      <c r="I125" s="10" t="s">
        <v>166</v>
      </c>
      <c r="J125" s="15" t="s">
        <v>982</v>
      </c>
      <c r="K125" s="9" t="s">
        <v>53</v>
      </c>
      <c r="L125" s="9" t="s">
        <v>984</v>
      </c>
      <c r="M125" s="11">
        <v>2014</v>
      </c>
      <c r="N125" s="9" t="s">
        <v>2059</v>
      </c>
      <c r="O125" s="9" t="s">
        <v>2060</v>
      </c>
      <c r="P125" s="12" t="s">
        <v>38</v>
      </c>
      <c r="Q125" s="12" t="s">
        <v>987</v>
      </c>
      <c r="R125" s="9" t="s">
        <v>2061</v>
      </c>
      <c r="S125" s="9" t="s">
        <v>1102</v>
      </c>
      <c r="T125" s="9" t="s">
        <v>1004</v>
      </c>
      <c r="U125" s="9" t="s">
        <v>2062</v>
      </c>
      <c r="V125" s="13" t="s">
        <v>1015</v>
      </c>
      <c r="W125" s="13" t="s">
        <v>44</v>
      </c>
      <c r="X125" s="9" t="s">
        <v>45</v>
      </c>
      <c r="Y125" s="9" t="s">
        <v>46</v>
      </c>
      <c r="Z125" s="9" t="s">
        <v>2063</v>
      </c>
      <c r="AA125" s="9" t="s">
        <v>48</v>
      </c>
      <c r="AB125" s="9" t="s">
        <v>48</v>
      </c>
      <c r="AC125" s="9" t="s">
        <v>48</v>
      </c>
      <c r="AD125" s="9" t="s">
        <v>48</v>
      </c>
      <c r="AE125"/>
    </row>
    <row r="126" spans="1:31">
      <c r="A126" s="16">
        <v>122</v>
      </c>
      <c r="B126" s="6" t="s">
        <v>2064</v>
      </c>
      <c r="C126" s="6" t="s">
        <v>1536</v>
      </c>
      <c r="D126" s="16">
        <v>23</v>
      </c>
      <c r="E126" s="16" t="s">
        <v>2065</v>
      </c>
      <c r="F126" s="9" t="s">
        <v>2066</v>
      </c>
      <c r="G126" s="9" t="s">
        <v>76</v>
      </c>
      <c r="H126" s="9" t="s">
        <v>51</v>
      </c>
      <c r="I126" s="10" t="s">
        <v>2067</v>
      </c>
      <c r="J126" s="15" t="s">
        <v>982</v>
      </c>
      <c r="K126" s="9" t="s">
        <v>53</v>
      </c>
      <c r="L126" s="9" t="s">
        <v>984</v>
      </c>
      <c r="M126" s="11">
        <v>2005</v>
      </c>
      <c r="N126" s="9"/>
      <c r="O126" s="9"/>
      <c r="P126" s="12" t="s">
        <v>1453</v>
      </c>
      <c r="Q126" s="12" t="s">
        <v>2068</v>
      </c>
      <c r="R126" s="9" t="s">
        <v>2069</v>
      </c>
      <c r="S126" s="9" t="s">
        <v>1085</v>
      </c>
      <c r="T126" s="9" t="s">
        <v>2070</v>
      </c>
      <c r="U126" s="9" t="s">
        <v>1087</v>
      </c>
      <c r="V126" s="13" t="s">
        <v>1015</v>
      </c>
      <c r="W126" s="13" t="s">
        <v>1089</v>
      </c>
      <c r="X126" s="9" t="s">
        <v>1334</v>
      </c>
      <c r="Y126" s="9" t="s">
        <v>2071</v>
      </c>
      <c r="Z126" s="9" t="s">
        <v>2072</v>
      </c>
      <c r="AA126" s="9" t="s">
        <v>48</v>
      </c>
      <c r="AB126" s="9" t="s">
        <v>48</v>
      </c>
      <c r="AC126" s="9" t="s">
        <v>48</v>
      </c>
      <c r="AD126" s="9" t="s">
        <v>48</v>
      </c>
      <c r="AE126"/>
    </row>
    <row r="127" spans="1:31">
      <c r="A127" s="16">
        <v>123</v>
      </c>
      <c r="B127" s="6" t="s">
        <v>2073</v>
      </c>
      <c r="C127" s="7"/>
      <c r="D127" s="8"/>
      <c r="E127" s="8"/>
      <c r="F127" s="9" t="s">
        <v>2074</v>
      </c>
      <c r="G127" s="9" t="s">
        <v>76</v>
      </c>
      <c r="H127" s="9" t="s">
        <v>51</v>
      </c>
      <c r="I127" s="10" t="s">
        <v>2075</v>
      </c>
      <c r="J127" s="15" t="s">
        <v>982</v>
      </c>
      <c r="K127" s="9" t="s">
        <v>53</v>
      </c>
      <c r="L127" s="9" t="s">
        <v>984</v>
      </c>
      <c r="M127" s="11">
        <v>2012</v>
      </c>
      <c r="N127" s="9" t="s">
        <v>2076</v>
      </c>
      <c r="O127" s="9" t="s">
        <v>2077</v>
      </c>
      <c r="P127" s="12" t="s">
        <v>1001</v>
      </c>
      <c r="Q127" s="12" t="s">
        <v>987</v>
      </c>
      <c r="R127" s="9" t="s">
        <v>2078</v>
      </c>
      <c r="S127" s="9" t="s">
        <v>1111</v>
      </c>
      <c r="T127" s="9" t="s">
        <v>2079</v>
      </c>
      <c r="U127" s="9" t="s">
        <v>1772</v>
      </c>
      <c r="V127" s="13" t="s">
        <v>1103</v>
      </c>
      <c r="W127" s="13" t="s">
        <v>1773</v>
      </c>
      <c r="X127" s="9" t="s">
        <v>993</v>
      </c>
      <c r="Y127" s="9" t="s">
        <v>1116</v>
      </c>
      <c r="Z127" s="9" t="s">
        <v>2080</v>
      </c>
      <c r="AA127" s="9" t="s">
        <v>48</v>
      </c>
      <c r="AB127" s="9" t="s">
        <v>48</v>
      </c>
      <c r="AC127" s="9" t="s">
        <v>48</v>
      </c>
      <c r="AD127" s="9" t="s">
        <v>48</v>
      </c>
      <c r="AE127"/>
    </row>
    <row r="128" spans="1:31">
      <c r="A128" s="16">
        <v>124</v>
      </c>
      <c r="B128" s="6" t="s">
        <v>2081</v>
      </c>
      <c r="C128" s="6" t="s">
        <v>1536</v>
      </c>
      <c r="D128" s="16">
        <v>33</v>
      </c>
      <c r="E128" s="16" t="s">
        <v>2082</v>
      </c>
      <c r="F128" s="9" t="s">
        <v>2083</v>
      </c>
      <c r="G128" s="9" t="s">
        <v>76</v>
      </c>
      <c r="H128" s="9" t="s">
        <v>51</v>
      </c>
      <c r="I128" s="10" t="s">
        <v>207</v>
      </c>
      <c r="J128" s="15" t="s">
        <v>982</v>
      </c>
      <c r="K128" s="9" t="s">
        <v>53</v>
      </c>
      <c r="L128" s="9" t="s">
        <v>984</v>
      </c>
      <c r="M128" s="11">
        <v>2012</v>
      </c>
      <c r="N128" s="9" t="s">
        <v>2084</v>
      </c>
      <c r="O128" s="10" t="s">
        <v>2085</v>
      </c>
      <c r="P128" s="12" t="s">
        <v>38</v>
      </c>
      <c r="Q128" s="12" t="s">
        <v>987</v>
      </c>
      <c r="R128" s="9" t="s">
        <v>2086</v>
      </c>
      <c r="S128" s="9" t="s">
        <v>1085</v>
      </c>
      <c r="T128" s="9" t="s">
        <v>2087</v>
      </c>
      <c r="U128" s="9" t="s">
        <v>1772</v>
      </c>
      <c r="V128" s="13" t="s">
        <v>1103</v>
      </c>
      <c r="W128" s="13" t="s">
        <v>1773</v>
      </c>
      <c r="X128" s="9" t="s">
        <v>993</v>
      </c>
      <c r="Y128" s="9" t="s">
        <v>1116</v>
      </c>
      <c r="Z128" s="9" t="s">
        <v>2088</v>
      </c>
      <c r="AA128" s="9" t="s">
        <v>48</v>
      </c>
      <c r="AB128" s="9" t="s">
        <v>48</v>
      </c>
      <c r="AC128" s="9" t="s">
        <v>48</v>
      </c>
      <c r="AD128" s="9" t="s">
        <v>48</v>
      </c>
      <c r="AE128"/>
    </row>
    <row r="129" spans="1:31">
      <c r="A129" s="16">
        <v>125</v>
      </c>
      <c r="B129" s="6" t="s">
        <v>2089</v>
      </c>
      <c r="C129" s="7"/>
      <c r="D129" s="8"/>
      <c r="E129" s="8"/>
      <c r="F129" s="9" t="s">
        <v>2090</v>
      </c>
      <c r="G129" s="9" t="s">
        <v>76</v>
      </c>
      <c r="H129" s="9" t="s">
        <v>51</v>
      </c>
      <c r="I129" s="10" t="s">
        <v>2075</v>
      </c>
      <c r="J129" s="15" t="s">
        <v>982</v>
      </c>
      <c r="K129" s="9" t="s">
        <v>53</v>
      </c>
      <c r="L129" s="9" t="s">
        <v>984</v>
      </c>
      <c r="M129" s="11">
        <v>2014</v>
      </c>
      <c r="N129" s="9"/>
      <c r="O129" s="9" t="s">
        <v>2091</v>
      </c>
      <c r="P129" s="12" t="s">
        <v>38</v>
      </c>
      <c r="Q129" s="12" t="s">
        <v>1012</v>
      </c>
      <c r="R129" s="9" t="s">
        <v>2092</v>
      </c>
      <c r="S129" s="9" t="s">
        <v>1003</v>
      </c>
      <c r="T129" s="9" t="s">
        <v>1004</v>
      </c>
      <c r="U129" s="9" t="s">
        <v>1014</v>
      </c>
      <c r="V129" s="13" t="s">
        <v>1015</v>
      </c>
      <c r="W129" s="13" t="s">
        <v>44</v>
      </c>
      <c r="X129" s="9" t="s">
        <v>45</v>
      </c>
      <c r="Y129" s="9" t="s">
        <v>46</v>
      </c>
      <c r="Z129" s="9" t="s">
        <v>2093</v>
      </c>
      <c r="AA129" s="9" t="s">
        <v>48</v>
      </c>
      <c r="AB129" s="9" t="s">
        <v>48</v>
      </c>
      <c r="AC129" s="9" t="s">
        <v>48</v>
      </c>
      <c r="AD129" s="9" t="s">
        <v>48</v>
      </c>
      <c r="AE129"/>
    </row>
    <row r="130" spans="1:31">
      <c r="A130" s="16">
        <v>126</v>
      </c>
      <c r="B130" s="6" t="s">
        <v>2094</v>
      </c>
      <c r="C130" s="6" t="s">
        <v>1536</v>
      </c>
      <c r="D130" s="16">
        <v>2</v>
      </c>
      <c r="E130" s="8" t="s">
        <v>2095</v>
      </c>
      <c r="F130" s="9" t="s">
        <v>2096</v>
      </c>
      <c r="G130" s="9" t="s">
        <v>76</v>
      </c>
      <c r="H130" s="9" t="s">
        <v>32</v>
      </c>
      <c r="I130" s="10" t="s">
        <v>2097</v>
      </c>
      <c r="J130" s="15" t="s">
        <v>1243</v>
      </c>
      <c r="K130" s="9" t="s">
        <v>53</v>
      </c>
      <c r="L130" s="9" t="s">
        <v>984</v>
      </c>
      <c r="M130" s="11">
        <v>2014</v>
      </c>
      <c r="N130" s="9" t="s">
        <v>2098</v>
      </c>
      <c r="O130" s="9" t="s">
        <v>2099</v>
      </c>
      <c r="P130" s="12" t="s">
        <v>2100</v>
      </c>
      <c r="Q130" s="12" t="s">
        <v>2101</v>
      </c>
      <c r="R130" s="9" t="s">
        <v>2102</v>
      </c>
      <c r="S130" s="9" t="s">
        <v>1003</v>
      </c>
      <c r="T130" s="9" t="s">
        <v>1428</v>
      </c>
      <c r="U130" s="9" t="s">
        <v>2103</v>
      </c>
      <c r="V130" s="13" t="s">
        <v>1250</v>
      </c>
      <c r="W130" s="13" t="s">
        <v>44</v>
      </c>
      <c r="X130" s="9" t="s">
        <v>2104</v>
      </c>
      <c r="Y130" s="9" t="s">
        <v>46</v>
      </c>
      <c r="Z130" s="9" t="s">
        <v>2105</v>
      </c>
      <c r="AA130" s="9" t="s">
        <v>48</v>
      </c>
      <c r="AB130" s="9" t="s">
        <v>48</v>
      </c>
      <c r="AC130" s="9" t="s">
        <v>48</v>
      </c>
      <c r="AD130" s="9" t="s">
        <v>48</v>
      </c>
      <c r="AE130"/>
    </row>
    <row r="131" spans="1:31">
      <c r="A131" s="16">
        <v>127</v>
      </c>
      <c r="B131" s="6" t="s">
        <v>2106</v>
      </c>
      <c r="C131" s="6" t="s">
        <v>1536</v>
      </c>
      <c r="D131" s="16">
        <v>38</v>
      </c>
      <c r="E131" s="16" t="s">
        <v>2107</v>
      </c>
      <c r="F131" s="9" t="s">
        <v>2108</v>
      </c>
      <c r="G131" s="9" t="s">
        <v>76</v>
      </c>
      <c r="H131" s="9" t="s">
        <v>51</v>
      </c>
      <c r="I131" s="10" t="s">
        <v>2109</v>
      </c>
      <c r="J131" s="15" t="s">
        <v>982</v>
      </c>
      <c r="K131" s="9" t="s">
        <v>53</v>
      </c>
      <c r="L131" s="9" t="s">
        <v>984</v>
      </c>
      <c r="M131" s="11">
        <v>2014</v>
      </c>
      <c r="N131" s="9" t="s">
        <v>2110</v>
      </c>
      <c r="O131" s="10" t="s">
        <v>2111</v>
      </c>
      <c r="P131" s="12" t="s">
        <v>38</v>
      </c>
      <c r="Q131" s="12" t="s">
        <v>1012</v>
      </c>
      <c r="R131" s="9" t="s">
        <v>2112</v>
      </c>
      <c r="S131" s="9" t="s">
        <v>1003</v>
      </c>
      <c r="T131" s="9" t="s">
        <v>1004</v>
      </c>
      <c r="U131" s="9" t="s">
        <v>1014</v>
      </c>
      <c r="V131" s="13" t="s">
        <v>1015</v>
      </c>
      <c r="W131" s="13" t="s">
        <v>44</v>
      </c>
      <c r="X131" s="9" t="s">
        <v>45</v>
      </c>
      <c r="Y131" s="9" t="s">
        <v>46</v>
      </c>
      <c r="Z131" s="9" t="s">
        <v>2113</v>
      </c>
      <c r="AA131" s="9" t="s">
        <v>48</v>
      </c>
      <c r="AB131" s="9" t="s">
        <v>48</v>
      </c>
      <c r="AC131" s="9" t="s">
        <v>48</v>
      </c>
      <c r="AD131" s="9" t="s">
        <v>48</v>
      </c>
      <c r="AE131"/>
    </row>
    <row r="132" spans="1:31">
      <c r="A132" s="16">
        <v>128</v>
      </c>
      <c r="B132" s="6" t="s">
        <v>2114</v>
      </c>
      <c r="C132" s="7"/>
      <c r="D132" s="8"/>
      <c r="E132" s="8"/>
      <c r="F132" s="9" t="s">
        <v>2115</v>
      </c>
      <c r="G132" s="9" t="s">
        <v>76</v>
      </c>
      <c r="H132" s="9" t="s">
        <v>32</v>
      </c>
      <c r="I132" s="10" t="s">
        <v>2116</v>
      </c>
      <c r="J132" s="15" t="s">
        <v>1243</v>
      </c>
      <c r="K132" s="9" t="s">
        <v>53</v>
      </c>
      <c r="L132" s="9" t="s">
        <v>984</v>
      </c>
      <c r="M132" s="11">
        <v>42705</v>
      </c>
      <c r="N132" s="30" t="s">
        <v>74</v>
      </c>
      <c r="O132" s="9" t="s">
        <v>2117</v>
      </c>
      <c r="P132" s="12" t="s">
        <v>38</v>
      </c>
      <c r="Q132" s="12" t="s">
        <v>1445</v>
      </c>
      <c r="R132" s="9" t="s">
        <v>2118</v>
      </c>
      <c r="S132" s="9" t="s">
        <v>1447</v>
      </c>
      <c r="T132" s="9"/>
      <c r="U132" s="9"/>
      <c r="V132" s="13"/>
      <c r="W132" s="13"/>
      <c r="X132" s="9"/>
      <c r="Y132" s="9"/>
      <c r="Z132" s="9"/>
      <c r="AA132" s="9" t="s">
        <v>48</v>
      </c>
      <c r="AB132" s="9" t="s">
        <v>48</v>
      </c>
      <c r="AC132" s="9" t="s">
        <v>48</v>
      </c>
      <c r="AD132" s="9" t="s">
        <v>48</v>
      </c>
      <c r="AE132"/>
    </row>
    <row r="133" spans="1:31">
      <c r="A133" s="16">
        <v>129</v>
      </c>
      <c r="B133" s="6" t="s">
        <v>2119</v>
      </c>
      <c r="C133" s="6" t="s">
        <v>1536</v>
      </c>
      <c r="D133" s="16">
        <v>40</v>
      </c>
      <c r="E133" s="16" t="s">
        <v>2120</v>
      </c>
      <c r="F133" s="9" t="s">
        <v>2121</v>
      </c>
      <c r="G133" s="9" t="s">
        <v>76</v>
      </c>
      <c r="H133" s="9" t="s">
        <v>51</v>
      </c>
      <c r="I133" s="10" t="s">
        <v>407</v>
      </c>
      <c r="J133" s="15" t="s">
        <v>982</v>
      </c>
      <c r="K133" s="9" t="s">
        <v>53</v>
      </c>
      <c r="L133" s="9" t="s">
        <v>984</v>
      </c>
      <c r="M133" s="11">
        <v>42705</v>
      </c>
      <c r="N133" s="9" t="s">
        <v>2122</v>
      </c>
      <c r="O133" s="10" t="s">
        <v>2123</v>
      </c>
      <c r="P133" s="12" t="s">
        <v>56</v>
      </c>
      <c r="Q133" s="12" t="s">
        <v>57</v>
      </c>
      <c r="R133" s="9" t="s">
        <v>2124</v>
      </c>
      <c r="S133" s="9" t="s">
        <v>1003</v>
      </c>
      <c r="T133" s="9" t="s">
        <v>2125</v>
      </c>
      <c r="U133" s="9" t="s">
        <v>61</v>
      </c>
      <c r="V133" s="32" t="s">
        <v>1025</v>
      </c>
      <c r="W133" s="32" t="s">
        <v>62</v>
      </c>
      <c r="X133" s="9" t="s">
        <v>45</v>
      </c>
      <c r="Y133" s="9" t="s">
        <v>88</v>
      </c>
      <c r="Z133" s="9" t="s">
        <v>2126</v>
      </c>
      <c r="AA133" s="9" t="s">
        <v>48</v>
      </c>
      <c r="AB133" s="9" t="s">
        <v>48</v>
      </c>
      <c r="AC133" s="9" t="s">
        <v>48</v>
      </c>
      <c r="AD133" s="9" t="s">
        <v>48</v>
      </c>
      <c r="AE133"/>
    </row>
    <row r="134" spans="1:31">
      <c r="A134" s="16">
        <v>130</v>
      </c>
      <c r="B134" s="6" t="s">
        <v>2127</v>
      </c>
      <c r="C134" s="7"/>
      <c r="D134" s="8"/>
      <c r="E134" s="8"/>
      <c r="F134" s="9" t="s">
        <v>2128</v>
      </c>
      <c r="G134" s="9" t="s">
        <v>76</v>
      </c>
      <c r="H134" s="9" t="s">
        <v>51</v>
      </c>
      <c r="I134" s="10" t="s">
        <v>2129</v>
      </c>
      <c r="J134" s="15" t="s">
        <v>982</v>
      </c>
      <c r="K134" s="9" t="s">
        <v>53</v>
      </c>
      <c r="L134" s="9" t="s">
        <v>984</v>
      </c>
      <c r="M134" s="11">
        <v>42705</v>
      </c>
      <c r="N134" s="9" t="s">
        <v>2130</v>
      </c>
      <c r="O134" s="9" t="s">
        <v>2131</v>
      </c>
      <c r="P134" s="12" t="s">
        <v>56</v>
      </c>
      <c r="Q134" s="12" t="s">
        <v>57</v>
      </c>
      <c r="R134" s="9" t="s">
        <v>2132</v>
      </c>
      <c r="S134" s="9" t="s">
        <v>1003</v>
      </c>
      <c r="T134" s="32" t="s">
        <v>2133</v>
      </c>
      <c r="U134" s="9" t="s">
        <v>61</v>
      </c>
      <c r="V134" s="32" t="s">
        <v>1025</v>
      </c>
      <c r="W134" s="32" t="s">
        <v>62</v>
      </c>
      <c r="X134" s="9" t="s">
        <v>45</v>
      </c>
      <c r="Y134" s="9" t="s">
        <v>88</v>
      </c>
      <c r="Z134" s="9" t="s">
        <v>2134</v>
      </c>
      <c r="AA134" s="9" t="s">
        <v>48</v>
      </c>
      <c r="AB134" s="9" t="s">
        <v>48</v>
      </c>
      <c r="AC134" s="9" t="s">
        <v>48</v>
      </c>
      <c r="AD134" s="9" t="s">
        <v>48</v>
      </c>
      <c r="AE134"/>
    </row>
    <row r="135" spans="1:31">
      <c r="A135" s="16">
        <v>131</v>
      </c>
      <c r="B135" s="6" t="s">
        <v>2135</v>
      </c>
      <c r="C135" s="6" t="s">
        <v>1536</v>
      </c>
      <c r="D135" s="16">
        <v>34</v>
      </c>
      <c r="E135" s="16" t="s">
        <v>2136</v>
      </c>
      <c r="F135" s="9" t="s">
        <v>2137</v>
      </c>
      <c r="G135" s="9" t="s">
        <v>76</v>
      </c>
      <c r="H135" s="9" t="s">
        <v>51</v>
      </c>
      <c r="I135" s="10" t="s">
        <v>2138</v>
      </c>
      <c r="J135" s="15" t="s">
        <v>982</v>
      </c>
      <c r="K135" s="9" t="s">
        <v>53</v>
      </c>
      <c r="L135" s="9" t="s">
        <v>984</v>
      </c>
      <c r="M135" s="11">
        <v>2006</v>
      </c>
      <c r="N135" s="9" t="s">
        <v>2139</v>
      </c>
      <c r="O135" s="9" t="s">
        <v>2140</v>
      </c>
      <c r="P135" s="12" t="s">
        <v>56</v>
      </c>
      <c r="Q135" s="12" t="s">
        <v>57</v>
      </c>
      <c r="R135" s="9" t="s">
        <v>2141</v>
      </c>
      <c r="S135" s="9" t="s">
        <v>1003</v>
      </c>
      <c r="T135" s="13" t="s">
        <v>2142</v>
      </c>
      <c r="U135" s="9" t="s">
        <v>61</v>
      </c>
      <c r="V135" s="32" t="s">
        <v>1025</v>
      </c>
      <c r="W135" s="32" t="s">
        <v>62</v>
      </c>
      <c r="X135" s="9" t="s">
        <v>45</v>
      </c>
      <c r="Y135" s="9" t="s">
        <v>88</v>
      </c>
      <c r="Z135" s="13" t="s">
        <v>2143</v>
      </c>
      <c r="AA135" s="9" t="s">
        <v>48</v>
      </c>
      <c r="AB135" s="9" t="s">
        <v>48</v>
      </c>
      <c r="AC135" s="9" t="s">
        <v>48</v>
      </c>
      <c r="AD135" s="9" t="s">
        <v>48</v>
      </c>
      <c r="AE135"/>
    </row>
    <row r="136" spans="1:31">
      <c r="A136" s="16">
        <v>132</v>
      </c>
      <c r="B136" s="6" t="s">
        <v>2144</v>
      </c>
      <c r="C136" s="7"/>
      <c r="D136" s="8"/>
      <c r="E136" s="8"/>
      <c r="F136" s="9" t="s">
        <v>2145</v>
      </c>
      <c r="G136" s="9" t="s">
        <v>76</v>
      </c>
      <c r="H136" s="9" t="s">
        <v>51</v>
      </c>
      <c r="I136" s="10" t="s">
        <v>2146</v>
      </c>
      <c r="J136" s="15" t="s">
        <v>982</v>
      </c>
      <c r="K136" s="9" t="s">
        <v>53</v>
      </c>
      <c r="L136" s="9" t="s">
        <v>984</v>
      </c>
      <c r="M136" s="11">
        <v>42705</v>
      </c>
      <c r="N136" s="9" t="s">
        <v>2147</v>
      </c>
      <c r="O136" s="10" t="s">
        <v>2148</v>
      </c>
      <c r="P136" s="12" t="s">
        <v>56</v>
      </c>
      <c r="Q136" s="12" t="s">
        <v>57</v>
      </c>
      <c r="R136" s="9" t="s">
        <v>2149</v>
      </c>
      <c r="S136" s="9" t="s">
        <v>1003</v>
      </c>
      <c r="T136" s="9" t="s">
        <v>2150</v>
      </c>
      <c r="U136" s="9" t="s">
        <v>61</v>
      </c>
      <c r="V136" s="32" t="s">
        <v>1025</v>
      </c>
      <c r="W136" s="32" t="s">
        <v>62</v>
      </c>
      <c r="X136" s="9" t="s">
        <v>45</v>
      </c>
      <c r="Y136" s="9" t="s">
        <v>88</v>
      </c>
      <c r="Z136" s="9" t="s">
        <v>2151</v>
      </c>
      <c r="AA136" s="9" t="s">
        <v>48</v>
      </c>
      <c r="AB136" s="9" t="s">
        <v>48</v>
      </c>
      <c r="AC136" s="9" t="s">
        <v>48</v>
      </c>
      <c r="AD136" s="9" t="s">
        <v>48</v>
      </c>
      <c r="AE136"/>
    </row>
    <row r="137" spans="1:31">
      <c r="A137" s="16">
        <v>133</v>
      </c>
      <c r="B137" s="6" t="s">
        <v>2152</v>
      </c>
      <c r="C137" s="6" t="s">
        <v>1226</v>
      </c>
      <c r="D137" s="16">
        <v>5</v>
      </c>
      <c r="E137" s="16" t="s">
        <v>2153</v>
      </c>
      <c r="F137" s="9" t="s">
        <v>2154</v>
      </c>
      <c r="G137" s="9" t="s">
        <v>76</v>
      </c>
      <c r="H137" s="9" t="s">
        <v>51</v>
      </c>
      <c r="I137" s="10" t="s">
        <v>2155</v>
      </c>
      <c r="J137" s="15" t="s">
        <v>982</v>
      </c>
      <c r="K137" s="9" t="s">
        <v>53</v>
      </c>
      <c r="L137" s="9" t="s">
        <v>984</v>
      </c>
      <c r="M137" s="11">
        <v>42705</v>
      </c>
      <c r="N137" s="9" t="s">
        <v>2156</v>
      </c>
      <c r="O137" s="9" t="s">
        <v>2157</v>
      </c>
      <c r="P137" s="12" t="s">
        <v>56</v>
      </c>
      <c r="Q137" s="12" t="s">
        <v>57</v>
      </c>
      <c r="R137" s="9" t="s">
        <v>2158</v>
      </c>
      <c r="S137" s="9" t="s">
        <v>1003</v>
      </c>
      <c r="T137" s="32" t="s">
        <v>2159</v>
      </c>
      <c r="U137" s="9" t="s">
        <v>61</v>
      </c>
      <c r="V137" s="32" t="s">
        <v>1025</v>
      </c>
      <c r="W137" s="32" t="s">
        <v>62</v>
      </c>
      <c r="X137" s="9" t="s">
        <v>45</v>
      </c>
      <c r="Y137" s="9" t="s">
        <v>88</v>
      </c>
      <c r="Z137" s="9" t="s">
        <v>2160</v>
      </c>
      <c r="AA137" s="9" t="s">
        <v>48</v>
      </c>
      <c r="AB137" s="9" t="s">
        <v>48</v>
      </c>
      <c r="AC137" s="9" t="s">
        <v>48</v>
      </c>
      <c r="AD137" s="9" t="s">
        <v>48</v>
      </c>
      <c r="AE137"/>
    </row>
    <row r="138" spans="1:31">
      <c r="A138" s="16">
        <v>134</v>
      </c>
      <c r="B138" s="22" t="s">
        <v>2161</v>
      </c>
      <c r="C138" s="6" t="s">
        <v>1536</v>
      </c>
      <c r="D138" s="16">
        <v>5</v>
      </c>
      <c r="E138" s="16" t="s">
        <v>2162</v>
      </c>
      <c r="F138" s="10" t="s">
        <v>2163</v>
      </c>
      <c r="G138" s="10" t="s">
        <v>76</v>
      </c>
      <c r="H138" s="9" t="s">
        <v>32</v>
      </c>
      <c r="I138" s="10" t="s">
        <v>2164</v>
      </c>
      <c r="J138" s="15" t="s">
        <v>1243</v>
      </c>
      <c r="K138" s="10" t="s">
        <v>53</v>
      </c>
      <c r="L138" s="10" t="s">
        <v>2165</v>
      </c>
      <c r="M138" s="11">
        <v>43070</v>
      </c>
      <c r="N138" s="30" t="s">
        <v>74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/>
    </row>
    <row r="139" spans="1:31" s="2" customFormat="1">
      <c r="A139" s="16">
        <v>135</v>
      </c>
      <c r="B139" s="6" t="s">
        <v>2166</v>
      </c>
      <c r="C139" s="6" t="s">
        <v>1536</v>
      </c>
      <c r="D139" s="16">
        <v>4</v>
      </c>
      <c r="E139" s="33" t="s">
        <v>2167</v>
      </c>
      <c r="F139" s="10" t="s">
        <v>2168</v>
      </c>
      <c r="G139" s="10" t="s">
        <v>76</v>
      </c>
      <c r="H139" s="9" t="s">
        <v>32</v>
      </c>
      <c r="I139" s="10" t="s">
        <v>2169</v>
      </c>
      <c r="J139" s="15" t="s">
        <v>1243</v>
      </c>
      <c r="K139" s="10" t="s">
        <v>53</v>
      </c>
      <c r="L139" s="10" t="s">
        <v>984</v>
      </c>
      <c r="M139" s="11">
        <v>42929</v>
      </c>
      <c r="N139" s="10" t="s">
        <v>2170</v>
      </c>
      <c r="O139" s="10" t="s">
        <v>2171</v>
      </c>
      <c r="P139" s="10" t="s">
        <v>38</v>
      </c>
      <c r="Q139" s="10" t="s">
        <v>2172</v>
      </c>
      <c r="R139" s="10" t="s">
        <v>2173</v>
      </c>
      <c r="S139" s="9" t="s">
        <v>1404</v>
      </c>
      <c r="T139" s="10" t="s">
        <v>2174</v>
      </c>
      <c r="U139" s="9" t="s">
        <v>2175</v>
      </c>
      <c r="V139" s="10" t="s">
        <v>2176</v>
      </c>
      <c r="W139" s="10" t="s">
        <v>62</v>
      </c>
      <c r="X139" s="10" t="s">
        <v>45</v>
      </c>
      <c r="Y139" s="9" t="s">
        <v>88</v>
      </c>
      <c r="Z139" s="13" t="s">
        <v>2177</v>
      </c>
      <c r="AA139" s="10" t="s">
        <v>48</v>
      </c>
      <c r="AB139" s="10" t="s">
        <v>48</v>
      </c>
      <c r="AC139" s="10" t="s">
        <v>48</v>
      </c>
      <c r="AD139" s="10" t="s">
        <v>48</v>
      </c>
    </row>
    <row r="140" spans="1:31">
      <c r="A140" s="16">
        <v>136</v>
      </c>
      <c r="B140" s="22" t="s">
        <v>2178</v>
      </c>
      <c r="C140" s="36" t="s">
        <v>1459</v>
      </c>
      <c r="D140" s="33" t="s">
        <v>1459</v>
      </c>
      <c r="E140" s="33" t="s">
        <v>1459</v>
      </c>
      <c r="F140" s="10" t="s">
        <v>2179</v>
      </c>
      <c r="G140" s="10" t="s">
        <v>76</v>
      </c>
      <c r="H140" s="9" t="s">
        <v>32</v>
      </c>
      <c r="I140" s="10" t="s">
        <v>2180</v>
      </c>
      <c r="J140" s="15" t="s">
        <v>982</v>
      </c>
      <c r="K140" s="10" t="s">
        <v>53</v>
      </c>
      <c r="L140" s="10" t="s">
        <v>984</v>
      </c>
      <c r="M140" s="11" t="s">
        <v>1018</v>
      </c>
      <c r="N140" s="10" t="s">
        <v>2181</v>
      </c>
      <c r="O140" s="10" t="s">
        <v>2182</v>
      </c>
      <c r="P140" s="10" t="s">
        <v>2183</v>
      </c>
      <c r="Q140" s="10" t="s">
        <v>2184</v>
      </c>
      <c r="R140" s="10" t="s">
        <v>2185</v>
      </c>
      <c r="S140" s="10" t="s">
        <v>2186</v>
      </c>
      <c r="T140" s="10"/>
      <c r="U140" s="10"/>
      <c r="V140" s="10"/>
      <c r="W140" s="10"/>
      <c r="X140" s="10"/>
      <c r="Y140" s="10"/>
      <c r="Z140" s="10"/>
      <c r="AA140" s="10" t="s">
        <v>48</v>
      </c>
      <c r="AB140" s="10" t="s">
        <v>48</v>
      </c>
      <c r="AC140" s="10" t="s">
        <v>48</v>
      </c>
      <c r="AD140" s="10" t="s">
        <v>48</v>
      </c>
      <c r="AE140"/>
    </row>
    <row r="141" spans="1:31">
      <c r="A141" s="16">
        <v>137</v>
      </c>
      <c r="B141" s="22" t="s">
        <v>2187</v>
      </c>
      <c r="C141" s="6"/>
      <c r="D141" s="16"/>
      <c r="E141" s="16"/>
      <c r="F141" s="10" t="s">
        <v>2188</v>
      </c>
      <c r="G141" s="10" t="s">
        <v>76</v>
      </c>
      <c r="H141" s="9" t="s">
        <v>51</v>
      </c>
      <c r="I141" s="10" t="s">
        <v>2189</v>
      </c>
      <c r="J141" s="15" t="s">
        <v>982</v>
      </c>
      <c r="K141" s="10" t="s">
        <v>53</v>
      </c>
      <c r="L141" s="10" t="s">
        <v>1540</v>
      </c>
      <c r="M141" s="11">
        <v>43220</v>
      </c>
      <c r="N141" s="10" t="s">
        <v>2190</v>
      </c>
      <c r="O141" s="10" t="s">
        <v>2191</v>
      </c>
      <c r="P141" s="10" t="s">
        <v>56</v>
      </c>
      <c r="Q141" s="10" t="s">
        <v>121</v>
      </c>
      <c r="R141" s="10" t="s">
        <v>139</v>
      </c>
      <c r="S141" s="10" t="s">
        <v>1062</v>
      </c>
      <c r="T141" s="10" t="s">
        <v>1204</v>
      </c>
      <c r="U141" s="10" t="s">
        <v>124</v>
      </c>
      <c r="V141" s="10" t="s">
        <v>1075</v>
      </c>
      <c r="W141" s="10" t="s">
        <v>62</v>
      </c>
      <c r="X141" s="10" t="s">
        <v>98</v>
      </c>
      <c r="Y141" s="10" t="s">
        <v>88</v>
      </c>
      <c r="Z141" s="10" t="s">
        <v>141</v>
      </c>
      <c r="AA141" s="10" t="s">
        <v>48</v>
      </c>
      <c r="AB141" s="10" t="s">
        <v>48</v>
      </c>
      <c r="AC141" s="10" t="s">
        <v>48</v>
      </c>
      <c r="AD141" s="10" t="s">
        <v>48</v>
      </c>
      <c r="AE141"/>
    </row>
    <row r="142" spans="1:31">
      <c r="A142" s="16">
        <v>138</v>
      </c>
      <c r="B142" s="5" t="s">
        <v>2192</v>
      </c>
      <c r="F142" s="2" t="s">
        <v>2193</v>
      </c>
      <c r="G142" s="2" t="s">
        <v>76</v>
      </c>
      <c r="H142" s="9" t="s">
        <v>32</v>
      </c>
      <c r="I142" s="2" t="s">
        <v>2194</v>
      </c>
      <c r="J142" s="14" t="s">
        <v>136</v>
      </c>
      <c r="K142" s="2" t="s">
        <v>53</v>
      </c>
      <c r="L142" s="2" t="s">
        <v>2165</v>
      </c>
      <c r="M142" s="3">
        <v>43396</v>
      </c>
      <c r="N142" s="2" t="s">
        <v>162</v>
      </c>
      <c r="O142" s="2" t="s">
        <v>163</v>
      </c>
      <c r="P142" s="2" t="s">
        <v>38</v>
      </c>
      <c r="Q142" s="10" t="s">
        <v>67</v>
      </c>
      <c r="R142" s="2" t="s">
        <v>164</v>
      </c>
      <c r="S142" s="10" t="s">
        <v>1062</v>
      </c>
      <c r="T142" s="2" t="s">
        <v>165</v>
      </c>
      <c r="U142" s="10" t="s">
        <v>70</v>
      </c>
      <c r="V142" s="10" t="s">
        <v>1025</v>
      </c>
      <c r="W142" s="10" t="s">
        <v>62</v>
      </c>
      <c r="X142" s="10" t="s">
        <v>87</v>
      </c>
      <c r="Y142" s="10" t="s">
        <v>88</v>
      </c>
      <c r="AA142" s="10" t="s">
        <v>364</v>
      </c>
      <c r="AB142" s="10" t="s">
        <v>364</v>
      </c>
      <c r="AC142" s="10" t="s">
        <v>364</v>
      </c>
      <c r="AD142" s="10" t="s">
        <v>364</v>
      </c>
      <c r="AE142"/>
    </row>
    <row r="143" spans="1:31">
      <c r="A143" s="16">
        <v>139</v>
      </c>
      <c r="B143" s="5" t="s">
        <v>2195</v>
      </c>
      <c r="F143" s="2" t="s">
        <v>2196</v>
      </c>
      <c r="G143" s="2" t="s">
        <v>76</v>
      </c>
      <c r="H143" s="9" t="s">
        <v>32</v>
      </c>
      <c r="I143" s="2" t="s">
        <v>2197</v>
      </c>
      <c r="J143" s="14" t="s">
        <v>136</v>
      </c>
      <c r="K143" s="2" t="s">
        <v>53</v>
      </c>
      <c r="L143" s="2" t="s">
        <v>2165</v>
      </c>
      <c r="M143" s="3">
        <v>43517</v>
      </c>
      <c r="N143" s="2" t="s">
        <v>2198</v>
      </c>
      <c r="O143" s="2" t="s">
        <v>2199</v>
      </c>
      <c r="P143" s="2" t="s">
        <v>38</v>
      </c>
      <c r="Q143" s="2" t="s">
        <v>103</v>
      </c>
      <c r="R143" s="2" t="s">
        <v>2200</v>
      </c>
      <c r="S143" s="10" t="s">
        <v>1062</v>
      </c>
      <c r="T143" s="2" t="s">
        <v>171</v>
      </c>
      <c r="U143" s="2" t="s">
        <v>172</v>
      </c>
      <c r="V143" s="10" t="s">
        <v>1221</v>
      </c>
      <c r="W143" s="2" t="s">
        <v>62</v>
      </c>
      <c r="X143" s="2" t="s">
        <v>45</v>
      </c>
      <c r="Y143" s="10" t="s">
        <v>88</v>
      </c>
      <c r="Z143" s="2" t="s">
        <v>2201</v>
      </c>
      <c r="AA143" s="2" t="s">
        <v>364</v>
      </c>
      <c r="AB143" s="2" t="s">
        <v>364</v>
      </c>
      <c r="AC143" s="2" t="s">
        <v>364</v>
      </c>
      <c r="AD143" s="2" t="s">
        <v>364</v>
      </c>
      <c r="AE143"/>
    </row>
    <row r="144" spans="1:31">
      <c r="A144" s="16">
        <v>140</v>
      </c>
      <c r="B144" s="5" t="s">
        <v>2202</v>
      </c>
      <c r="F144" s="2" t="s">
        <v>2203</v>
      </c>
      <c r="G144" s="2" t="s">
        <v>76</v>
      </c>
      <c r="H144" s="9" t="s">
        <v>32</v>
      </c>
      <c r="I144" s="2" t="s">
        <v>2204</v>
      </c>
      <c r="J144" s="14" t="s">
        <v>982</v>
      </c>
      <c r="K144" s="2" t="s">
        <v>53</v>
      </c>
      <c r="L144" s="2" t="s">
        <v>984</v>
      </c>
      <c r="M144" s="3">
        <v>43517</v>
      </c>
      <c r="N144" s="2" t="s">
        <v>187</v>
      </c>
      <c r="O144" s="2" t="s">
        <v>2205</v>
      </c>
      <c r="P144" s="2" t="s">
        <v>38</v>
      </c>
      <c r="Q144" s="2" t="s">
        <v>103</v>
      </c>
      <c r="R144" s="2" t="s">
        <v>189</v>
      </c>
      <c r="S144" s="10" t="s">
        <v>1062</v>
      </c>
      <c r="T144" s="2" t="s">
        <v>171</v>
      </c>
      <c r="U144" s="2" t="s">
        <v>172</v>
      </c>
      <c r="V144" s="10" t="s">
        <v>1221</v>
      </c>
      <c r="W144" s="2" t="s">
        <v>62</v>
      </c>
      <c r="X144" s="2" t="s">
        <v>45</v>
      </c>
      <c r="Y144" s="10" t="s">
        <v>88</v>
      </c>
      <c r="Z144" s="2" t="s">
        <v>190</v>
      </c>
      <c r="AA144" s="2" t="s">
        <v>48</v>
      </c>
      <c r="AB144" s="2" t="s">
        <v>364</v>
      </c>
      <c r="AC144" s="2" t="s">
        <v>364</v>
      </c>
      <c r="AD144" s="2" t="s">
        <v>364</v>
      </c>
      <c r="AE144"/>
    </row>
    <row r="145" spans="1:31">
      <c r="A145" s="16">
        <v>141</v>
      </c>
      <c r="B145" s="5" t="s">
        <v>2206</v>
      </c>
      <c r="F145" s="2" t="s">
        <v>2207</v>
      </c>
      <c r="G145" s="2" t="s">
        <v>76</v>
      </c>
      <c r="H145" s="9" t="s">
        <v>32</v>
      </c>
      <c r="I145" s="2" t="s">
        <v>2208</v>
      </c>
      <c r="J145" s="14" t="s">
        <v>136</v>
      </c>
      <c r="K145" s="2" t="s">
        <v>53</v>
      </c>
      <c r="L145" s="2" t="s">
        <v>2165</v>
      </c>
      <c r="M145" s="3">
        <v>43542</v>
      </c>
      <c r="N145" s="2" t="s">
        <v>192</v>
      </c>
      <c r="O145" s="2" t="s">
        <v>193</v>
      </c>
      <c r="P145" s="2" t="s">
        <v>38</v>
      </c>
      <c r="Q145" s="2" t="s">
        <v>194</v>
      </c>
      <c r="R145" t="s">
        <v>195</v>
      </c>
      <c r="S145" s="10" t="s">
        <v>1062</v>
      </c>
      <c r="T145" s="2" t="s">
        <v>196</v>
      </c>
      <c r="U145" s="2" t="s">
        <v>172</v>
      </c>
      <c r="V145" s="10" t="s">
        <v>1221</v>
      </c>
      <c r="W145" s="2" t="s">
        <v>86</v>
      </c>
      <c r="X145" s="2" t="s">
        <v>45</v>
      </c>
      <c r="Y145" s="10" t="s">
        <v>88</v>
      </c>
      <c r="Z145" t="s">
        <v>197</v>
      </c>
      <c r="AA145" s="2" t="s">
        <v>48</v>
      </c>
      <c r="AB145" s="2" t="s">
        <v>364</v>
      </c>
      <c r="AC145" s="2" t="s">
        <v>364</v>
      </c>
      <c r="AD145" s="2" t="s">
        <v>364</v>
      </c>
      <c r="AE145"/>
    </row>
    <row r="146" spans="1:31">
      <c r="A146" s="16">
        <v>142</v>
      </c>
      <c r="B146" s="6" t="s">
        <v>2209</v>
      </c>
      <c r="C146" s="7"/>
      <c r="D146" s="8"/>
      <c r="E146" s="8"/>
      <c r="F146" s="9" t="s">
        <v>2210</v>
      </c>
      <c r="G146" s="9" t="s">
        <v>76</v>
      </c>
      <c r="H146" s="9" t="s">
        <v>32</v>
      </c>
      <c r="I146" s="10" t="s">
        <v>2211</v>
      </c>
      <c r="J146" s="15" t="s">
        <v>1243</v>
      </c>
      <c r="K146" s="9" t="s">
        <v>2212</v>
      </c>
      <c r="L146" s="9" t="s">
        <v>984</v>
      </c>
      <c r="M146" s="11">
        <v>2013</v>
      </c>
      <c r="N146" s="30"/>
      <c r="O146" s="9" t="s">
        <v>2213</v>
      </c>
      <c r="P146" s="12" t="s">
        <v>38</v>
      </c>
      <c r="Q146" s="12" t="s">
        <v>2214</v>
      </c>
      <c r="R146" s="9" t="s">
        <v>2215</v>
      </c>
      <c r="S146" s="9" t="s">
        <v>1003</v>
      </c>
      <c r="T146" s="9" t="s">
        <v>1004</v>
      </c>
      <c r="U146" s="9" t="s">
        <v>2216</v>
      </c>
      <c r="V146" s="13" t="s">
        <v>1025</v>
      </c>
      <c r="W146" s="13" t="s">
        <v>44</v>
      </c>
      <c r="X146" s="9" t="s">
        <v>2217</v>
      </c>
      <c r="Y146" s="9" t="s">
        <v>1116</v>
      </c>
      <c r="Z146" s="9" t="s">
        <v>2218</v>
      </c>
      <c r="AA146" s="9" t="s">
        <v>2219</v>
      </c>
      <c r="AB146" s="9" t="s">
        <v>2220</v>
      </c>
      <c r="AC146" s="9" t="s">
        <v>48</v>
      </c>
      <c r="AD146" s="9" t="s">
        <v>48</v>
      </c>
    </row>
    <row r="147" spans="1:31">
      <c r="A147" s="16">
        <v>143</v>
      </c>
      <c r="B147" s="5" t="s">
        <v>2221</v>
      </c>
      <c r="F147" s="2" t="s">
        <v>2222</v>
      </c>
      <c r="G147" s="2" t="s">
        <v>76</v>
      </c>
      <c r="H147" s="2" t="s">
        <v>32</v>
      </c>
      <c r="I147" s="2" t="s">
        <v>287</v>
      </c>
      <c r="J147" s="14" t="s">
        <v>982</v>
      </c>
      <c r="K147" s="2" t="s">
        <v>2212</v>
      </c>
      <c r="L147" s="2" t="s">
        <v>984</v>
      </c>
      <c r="M147" s="3">
        <v>43517</v>
      </c>
      <c r="N147" s="2" t="s">
        <v>182</v>
      </c>
      <c r="O147" s="2" t="s">
        <v>2223</v>
      </c>
      <c r="P147" s="2" t="s">
        <v>38</v>
      </c>
      <c r="Q147" s="2" t="s">
        <v>103</v>
      </c>
      <c r="R147" s="2" t="s">
        <v>184</v>
      </c>
      <c r="S147" s="10" t="s">
        <v>1062</v>
      </c>
      <c r="T147" s="2" t="s">
        <v>171</v>
      </c>
      <c r="U147" s="2" t="s">
        <v>172</v>
      </c>
      <c r="V147" s="10" t="s">
        <v>1221</v>
      </c>
      <c r="W147" s="2" t="s">
        <v>62</v>
      </c>
      <c r="X147" s="2" t="s">
        <v>45</v>
      </c>
      <c r="Y147" s="10" t="s">
        <v>88</v>
      </c>
      <c r="Z147" s="2" t="s">
        <v>185</v>
      </c>
      <c r="AA147" s="2" t="s">
        <v>48</v>
      </c>
      <c r="AB147" s="2" t="s">
        <v>364</v>
      </c>
      <c r="AC147" s="2" t="s">
        <v>364</v>
      </c>
      <c r="AD147" s="2" t="s">
        <v>364</v>
      </c>
      <c r="AE147"/>
    </row>
    <row r="148" spans="1:31">
      <c r="A148" s="16">
        <v>144</v>
      </c>
      <c r="B148" s="6" t="s">
        <v>2224</v>
      </c>
      <c r="C148" s="7"/>
      <c r="D148" s="8"/>
      <c r="E148" s="8"/>
      <c r="F148" s="9" t="s">
        <v>2225</v>
      </c>
      <c r="G148" s="9" t="s">
        <v>76</v>
      </c>
      <c r="H148" s="9" t="s">
        <v>32</v>
      </c>
      <c r="I148" s="10" t="s">
        <v>2226</v>
      </c>
      <c r="J148" s="15" t="s">
        <v>982</v>
      </c>
      <c r="K148" s="9" t="s">
        <v>91</v>
      </c>
      <c r="L148" s="9" t="s">
        <v>984</v>
      </c>
      <c r="M148" s="11">
        <v>2010</v>
      </c>
      <c r="N148" s="9"/>
      <c r="O148" s="9"/>
      <c r="P148" s="12" t="s">
        <v>38</v>
      </c>
      <c r="Q148" s="12" t="s">
        <v>2227</v>
      </c>
      <c r="R148" s="9" t="s">
        <v>2228</v>
      </c>
      <c r="S148" s="9" t="s">
        <v>1085</v>
      </c>
      <c r="T148" s="9" t="s">
        <v>2229</v>
      </c>
      <c r="U148" s="9" t="s">
        <v>2230</v>
      </c>
      <c r="V148" s="13" t="s">
        <v>2231</v>
      </c>
      <c r="W148" s="13" t="s">
        <v>44</v>
      </c>
      <c r="X148" s="9" t="s">
        <v>1188</v>
      </c>
      <c r="Y148" s="9" t="s">
        <v>1152</v>
      </c>
      <c r="Z148" s="9" t="s">
        <v>2232</v>
      </c>
      <c r="AA148" s="9" t="s">
        <v>48</v>
      </c>
      <c r="AB148" s="9" t="s">
        <v>48</v>
      </c>
      <c r="AC148" s="9" t="s">
        <v>48</v>
      </c>
      <c r="AD148" s="9" t="s">
        <v>48</v>
      </c>
      <c r="AE148"/>
    </row>
    <row r="149" spans="1:31">
      <c r="A149" s="16">
        <v>145</v>
      </c>
      <c r="B149" s="6" t="s">
        <v>2233</v>
      </c>
      <c r="C149" s="7"/>
      <c r="D149" s="8"/>
      <c r="E149" s="8"/>
      <c r="F149" s="9" t="s">
        <v>2234</v>
      </c>
      <c r="G149" s="9" t="s">
        <v>76</v>
      </c>
      <c r="H149" s="9" t="s">
        <v>32</v>
      </c>
      <c r="I149" s="10" t="s">
        <v>2226</v>
      </c>
      <c r="J149" s="15" t="s">
        <v>34</v>
      </c>
      <c r="K149" s="9" t="s">
        <v>91</v>
      </c>
      <c r="L149" s="9" t="s">
        <v>2017</v>
      </c>
      <c r="M149" s="11">
        <v>2008</v>
      </c>
      <c r="N149" s="9"/>
      <c r="O149" s="9"/>
      <c r="P149" s="12" t="s">
        <v>2100</v>
      </c>
      <c r="Q149" s="12" t="s">
        <v>2235</v>
      </c>
      <c r="R149" s="9" t="s">
        <v>2236</v>
      </c>
      <c r="S149" s="9" t="s">
        <v>1085</v>
      </c>
      <c r="T149" s="9" t="s">
        <v>2237</v>
      </c>
      <c r="U149" s="9" t="s">
        <v>2238</v>
      </c>
      <c r="V149" s="13" t="s">
        <v>2239</v>
      </c>
      <c r="W149" s="13" t="s">
        <v>2240</v>
      </c>
      <c r="X149" s="9" t="s">
        <v>1151</v>
      </c>
      <c r="Y149" s="9" t="s">
        <v>1152</v>
      </c>
      <c r="Z149" s="9" t="s">
        <v>2241</v>
      </c>
      <c r="AA149" s="9" t="s">
        <v>48</v>
      </c>
      <c r="AB149" s="9" t="s">
        <v>48</v>
      </c>
      <c r="AC149" s="9" t="s">
        <v>48</v>
      </c>
      <c r="AD149" s="9" t="s">
        <v>48</v>
      </c>
      <c r="AE149"/>
    </row>
    <row r="150" spans="1:31">
      <c r="A150" s="16">
        <v>146</v>
      </c>
      <c r="B150" s="6" t="s">
        <v>2242</v>
      </c>
      <c r="C150" s="7"/>
      <c r="D150" s="8"/>
      <c r="E150" s="8"/>
      <c r="F150" s="9" t="s">
        <v>2243</v>
      </c>
      <c r="G150" s="9" t="s">
        <v>76</v>
      </c>
      <c r="H150" s="9" t="s">
        <v>51</v>
      </c>
      <c r="I150" s="10" t="s">
        <v>2244</v>
      </c>
      <c r="J150" s="15" t="s">
        <v>982</v>
      </c>
      <c r="K150" s="9" t="s">
        <v>91</v>
      </c>
      <c r="L150" s="9" t="s">
        <v>2017</v>
      </c>
      <c r="M150" s="11">
        <v>2010</v>
      </c>
      <c r="N150" s="9" t="s">
        <v>2245</v>
      </c>
      <c r="O150" s="9" t="s">
        <v>2246</v>
      </c>
      <c r="P150" s="12" t="s">
        <v>1001</v>
      </c>
      <c r="Q150" s="12" t="s">
        <v>1109</v>
      </c>
      <c r="R150" s="9" t="s">
        <v>2247</v>
      </c>
      <c r="S150" s="9" t="s">
        <v>1111</v>
      </c>
      <c r="T150" s="9" t="s">
        <v>2248</v>
      </c>
      <c r="U150" s="9" t="s">
        <v>1161</v>
      </c>
      <c r="V150" s="13" t="s">
        <v>1266</v>
      </c>
      <c r="W150" s="13" t="s">
        <v>1115</v>
      </c>
      <c r="X150" s="9" t="s">
        <v>1267</v>
      </c>
      <c r="Y150" s="9" t="s">
        <v>1116</v>
      </c>
      <c r="Z150" s="9" t="s">
        <v>2249</v>
      </c>
      <c r="AA150" s="9" t="s">
        <v>48</v>
      </c>
      <c r="AB150" s="9" t="s">
        <v>48</v>
      </c>
      <c r="AC150" s="9" t="s">
        <v>48</v>
      </c>
      <c r="AD150" s="9" t="s">
        <v>48</v>
      </c>
      <c r="AE150"/>
    </row>
    <row r="151" spans="1:31">
      <c r="A151" s="16">
        <v>147</v>
      </c>
      <c r="B151" s="6" t="s">
        <v>2250</v>
      </c>
      <c r="C151" s="7"/>
      <c r="D151" s="8"/>
      <c r="E151" s="8"/>
      <c r="F151" s="9" t="s">
        <v>2251</v>
      </c>
      <c r="G151" s="9" t="s">
        <v>76</v>
      </c>
      <c r="H151" s="9" t="s">
        <v>32</v>
      </c>
      <c r="I151" s="10" t="s">
        <v>2226</v>
      </c>
      <c r="J151" s="15" t="s">
        <v>34</v>
      </c>
      <c r="K151" s="9" t="s">
        <v>91</v>
      </c>
      <c r="L151" s="9" t="s">
        <v>2017</v>
      </c>
      <c r="M151" s="11">
        <v>2012</v>
      </c>
      <c r="N151" s="9" t="s">
        <v>2252</v>
      </c>
      <c r="O151" s="9"/>
      <c r="P151" s="12" t="s">
        <v>38</v>
      </c>
      <c r="Q151" s="12" t="s">
        <v>2253</v>
      </c>
      <c r="R151" s="9" t="s">
        <v>2254</v>
      </c>
      <c r="S151" s="9" t="s">
        <v>1085</v>
      </c>
      <c r="T151" s="9" t="s">
        <v>2255</v>
      </c>
      <c r="U151" s="9" t="s">
        <v>1249</v>
      </c>
      <c r="V151" s="13" t="s">
        <v>1250</v>
      </c>
      <c r="W151" s="13" t="s">
        <v>44</v>
      </c>
      <c r="X151" s="9" t="s">
        <v>993</v>
      </c>
      <c r="Y151" s="9" t="s">
        <v>1116</v>
      </c>
      <c r="Z151" s="9" t="s">
        <v>2256</v>
      </c>
      <c r="AA151" s="9" t="s">
        <v>48</v>
      </c>
      <c r="AB151" s="9" t="s">
        <v>48</v>
      </c>
      <c r="AC151" s="9" t="s">
        <v>48</v>
      </c>
      <c r="AD151" s="9" t="s">
        <v>48</v>
      </c>
      <c r="AE151"/>
    </row>
    <row r="152" spans="1:31">
      <c r="A152" s="16">
        <v>148</v>
      </c>
      <c r="B152" s="6" t="s">
        <v>2257</v>
      </c>
      <c r="C152" s="6" t="s">
        <v>1127</v>
      </c>
      <c r="D152" s="16">
        <v>4</v>
      </c>
      <c r="E152" s="16" t="s">
        <v>2258</v>
      </c>
      <c r="F152" s="9" t="s">
        <v>2259</v>
      </c>
      <c r="G152" s="9" t="s">
        <v>76</v>
      </c>
      <c r="H152" s="9" t="s">
        <v>51</v>
      </c>
      <c r="I152" s="10" t="s">
        <v>2260</v>
      </c>
      <c r="J152" s="15" t="s">
        <v>982</v>
      </c>
      <c r="K152" s="9" t="s">
        <v>91</v>
      </c>
      <c r="L152" s="9" t="s">
        <v>2017</v>
      </c>
      <c r="M152" s="11">
        <v>42705</v>
      </c>
      <c r="N152" s="9" t="s">
        <v>2261</v>
      </c>
      <c r="O152" s="10" t="s">
        <v>2262</v>
      </c>
      <c r="P152" s="12" t="s">
        <v>56</v>
      </c>
      <c r="Q152" s="12" t="s">
        <v>57</v>
      </c>
      <c r="R152" s="9" t="s">
        <v>2263</v>
      </c>
      <c r="S152" s="9" t="s">
        <v>1003</v>
      </c>
      <c r="T152" s="32" t="s">
        <v>2264</v>
      </c>
      <c r="U152" s="9" t="s">
        <v>61</v>
      </c>
      <c r="V152" s="32" t="s">
        <v>1025</v>
      </c>
      <c r="W152" s="32" t="s">
        <v>62</v>
      </c>
      <c r="X152" s="9" t="s">
        <v>45</v>
      </c>
      <c r="Y152" s="9" t="s">
        <v>88</v>
      </c>
      <c r="Z152" s="32" t="s">
        <v>2265</v>
      </c>
      <c r="AA152" s="9" t="s">
        <v>48</v>
      </c>
      <c r="AB152" s="9" t="s">
        <v>48</v>
      </c>
      <c r="AC152" s="9" t="s">
        <v>48</v>
      </c>
      <c r="AD152" s="9" t="s">
        <v>48</v>
      </c>
      <c r="AE152"/>
    </row>
    <row r="153" spans="1:31" ht="15" customHeight="1">
      <c r="A153" s="16">
        <v>149</v>
      </c>
      <c r="B153" s="6" t="s">
        <v>2266</v>
      </c>
      <c r="C153" s="7"/>
      <c r="D153" s="8"/>
      <c r="E153" s="8"/>
      <c r="F153" s="9" t="s">
        <v>2267</v>
      </c>
      <c r="G153" s="9" t="s">
        <v>76</v>
      </c>
      <c r="H153" s="9" t="s">
        <v>51</v>
      </c>
      <c r="I153" s="10" t="s">
        <v>2268</v>
      </c>
      <c r="J153" s="15" t="s">
        <v>982</v>
      </c>
      <c r="K153" s="9" t="s">
        <v>91</v>
      </c>
      <c r="L153" s="9" t="s">
        <v>2017</v>
      </c>
      <c r="M153" s="11">
        <v>42705</v>
      </c>
      <c r="N153" s="9" t="s">
        <v>2269</v>
      </c>
      <c r="O153" s="10" t="s">
        <v>2270</v>
      </c>
      <c r="P153" s="12" t="s">
        <v>56</v>
      </c>
      <c r="Q153" s="12" t="s">
        <v>57</v>
      </c>
      <c r="R153" s="9" t="s">
        <v>2271</v>
      </c>
      <c r="S153" s="9" t="s">
        <v>1003</v>
      </c>
      <c r="T153" s="32" t="s">
        <v>2272</v>
      </c>
      <c r="U153" s="9" t="s">
        <v>61</v>
      </c>
      <c r="V153" s="32" t="s">
        <v>1025</v>
      </c>
      <c r="W153" s="32" t="s">
        <v>62</v>
      </c>
      <c r="X153" s="9" t="s">
        <v>45</v>
      </c>
      <c r="Y153" s="9" t="s">
        <v>88</v>
      </c>
      <c r="Z153" s="9" t="s">
        <v>2273</v>
      </c>
      <c r="AA153" s="9" t="s">
        <v>48</v>
      </c>
      <c r="AB153" s="9" t="s">
        <v>48</v>
      </c>
      <c r="AC153" s="9" t="s">
        <v>48</v>
      </c>
      <c r="AD153" s="9" t="s">
        <v>48</v>
      </c>
      <c r="AE153"/>
    </row>
    <row r="154" spans="1:31" ht="14.45" customHeight="1">
      <c r="A154" s="16">
        <v>150</v>
      </c>
      <c r="B154" s="6" t="s">
        <v>2274</v>
      </c>
      <c r="C154" s="7"/>
      <c r="D154" s="8"/>
      <c r="E154" s="8"/>
      <c r="F154" s="9" t="s">
        <v>2275</v>
      </c>
      <c r="G154" s="9" t="s">
        <v>76</v>
      </c>
      <c r="H154" s="9" t="s">
        <v>51</v>
      </c>
      <c r="I154" s="10" t="s">
        <v>2276</v>
      </c>
      <c r="J154" s="15" t="s">
        <v>982</v>
      </c>
      <c r="K154" s="9" t="s">
        <v>91</v>
      </c>
      <c r="L154" s="9" t="s">
        <v>2017</v>
      </c>
      <c r="M154" s="11">
        <v>42705</v>
      </c>
      <c r="N154" s="9" t="s">
        <v>2277</v>
      </c>
      <c r="O154" s="10" t="s">
        <v>2278</v>
      </c>
      <c r="P154" s="12" t="s">
        <v>56</v>
      </c>
      <c r="Q154" s="12" t="s">
        <v>57</v>
      </c>
      <c r="R154" s="9" t="s">
        <v>2279</v>
      </c>
      <c r="S154" s="9" t="s">
        <v>1003</v>
      </c>
      <c r="T154" s="32" t="s">
        <v>2280</v>
      </c>
      <c r="U154" s="9" t="s">
        <v>61</v>
      </c>
      <c r="V154" s="32" t="s">
        <v>1025</v>
      </c>
      <c r="W154" s="32" t="s">
        <v>62</v>
      </c>
      <c r="X154" s="9" t="s">
        <v>45</v>
      </c>
      <c r="Y154" s="9" t="s">
        <v>88</v>
      </c>
      <c r="Z154" s="9" t="s">
        <v>2281</v>
      </c>
      <c r="AA154" s="9" t="s">
        <v>48</v>
      </c>
      <c r="AB154" s="9" t="s">
        <v>48</v>
      </c>
      <c r="AC154" s="9" t="s">
        <v>48</v>
      </c>
      <c r="AD154" s="9" t="s">
        <v>48</v>
      </c>
      <c r="AE154"/>
    </row>
    <row r="155" spans="1:31" ht="12.6" customHeight="1">
      <c r="A155" s="16">
        <v>151</v>
      </c>
      <c r="B155" s="22" t="s">
        <v>2282</v>
      </c>
      <c r="C155" s="7" t="s">
        <v>1018</v>
      </c>
      <c r="D155" s="8" t="s">
        <v>1018</v>
      </c>
      <c r="E155" s="8" t="s">
        <v>1018</v>
      </c>
      <c r="F155" s="10" t="s">
        <v>2283</v>
      </c>
      <c r="G155" s="10" t="s">
        <v>76</v>
      </c>
      <c r="H155" s="9" t="s">
        <v>51</v>
      </c>
      <c r="I155" s="10" t="s">
        <v>2284</v>
      </c>
      <c r="J155" s="15" t="s">
        <v>982</v>
      </c>
      <c r="K155" s="10" t="s">
        <v>91</v>
      </c>
      <c r="L155" s="9" t="s">
        <v>2017</v>
      </c>
      <c r="M155" s="11">
        <v>2012</v>
      </c>
      <c r="N155" s="9" t="s">
        <v>2285</v>
      </c>
      <c r="O155" s="9" t="s">
        <v>2286</v>
      </c>
      <c r="P155" s="12" t="s">
        <v>38</v>
      </c>
      <c r="Q155" s="12" t="s">
        <v>1905</v>
      </c>
      <c r="R155" s="9" t="s">
        <v>2287</v>
      </c>
      <c r="S155" s="9" t="s">
        <v>2288</v>
      </c>
      <c r="T155" s="9" t="s">
        <v>1907</v>
      </c>
      <c r="U155" s="9" t="s">
        <v>2289</v>
      </c>
      <c r="V155" s="13" t="s">
        <v>1103</v>
      </c>
      <c r="W155" s="13" t="s">
        <v>1773</v>
      </c>
      <c r="X155" s="9" t="s">
        <v>45</v>
      </c>
      <c r="Y155" s="9" t="s">
        <v>1116</v>
      </c>
      <c r="Z155" s="9"/>
      <c r="AA155" s="9" t="s">
        <v>48</v>
      </c>
      <c r="AB155" s="10" t="s">
        <v>48</v>
      </c>
      <c r="AC155" s="9" t="s">
        <v>48</v>
      </c>
      <c r="AD155" s="9" t="s">
        <v>48</v>
      </c>
      <c r="AE155"/>
    </row>
    <row r="156" spans="1:31" ht="12.95" customHeight="1">
      <c r="A156" s="16">
        <v>152</v>
      </c>
      <c r="B156" s="6" t="s">
        <v>2290</v>
      </c>
      <c r="C156" s="7"/>
      <c r="D156" s="8"/>
      <c r="E156" s="8"/>
      <c r="F156" s="9" t="s">
        <v>2291</v>
      </c>
      <c r="G156" s="9" t="s">
        <v>76</v>
      </c>
      <c r="H156" s="9" t="s">
        <v>51</v>
      </c>
      <c r="I156" s="10" t="s">
        <v>2292</v>
      </c>
      <c r="J156" s="15" t="s">
        <v>34</v>
      </c>
      <c r="K156" s="9" t="s">
        <v>181</v>
      </c>
      <c r="L156" s="9" t="s">
        <v>2293</v>
      </c>
      <c r="M156" s="11">
        <v>2003</v>
      </c>
      <c r="N156" s="9" t="s">
        <v>2294</v>
      </c>
      <c r="O156" s="10" t="s">
        <v>2295</v>
      </c>
      <c r="P156" s="12" t="s">
        <v>1453</v>
      </c>
      <c r="Q156" s="12" t="s">
        <v>2296</v>
      </c>
      <c r="R156" s="9" t="s">
        <v>2297</v>
      </c>
      <c r="S156" s="9" t="s">
        <v>1085</v>
      </c>
      <c r="T156" s="9" t="s">
        <v>2298</v>
      </c>
      <c r="U156" s="9" t="s">
        <v>1087</v>
      </c>
      <c r="V156" s="13" t="s">
        <v>2299</v>
      </c>
      <c r="W156" s="13" t="s">
        <v>1089</v>
      </c>
      <c r="X156" s="9" t="s">
        <v>1347</v>
      </c>
      <c r="Y156" s="9" t="s">
        <v>2300</v>
      </c>
      <c r="Z156" s="9" t="s">
        <v>2301</v>
      </c>
      <c r="AA156" s="9" t="s">
        <v>48</v>
      </c>
      <c r="AB156" s="9" t="s">
        <v>48</v>
      </c>
      <c r="AC156" s="9" t="s">
        <v>48</v>
      </c>
      <c r="AD156" s="9" t="s">
        <v>48</v>
      </c>
      <c r="AE156"/>
    </row>
    <row r="157" spans="1:31" ht="15.6" customHeight="1">
      <c r="A157" s="16">
        <v>153</v>
      </c>
      <c r="B157" s="6" t="s">
        <v>2302</v>
      </c>
      <c r="C157" s="7"/>
      <c r="D157" s="8"/>
      <c r="E157" s="8"/>
      <c r="F157" s="9" t="s">
        <v>2303</v>
      </c>
      <c r="G157" s="9" t="s">
        <v>76</v>
      </c>
      <c r="H157" s="9" t="s">
        <v>51</v>
      </c>
      <c r="I157" s="10" t="s">
        <v>481</v>
      </c>
      <c r="J157" s="15" t="s">
        <v>982</v>
      </c>
      <c r="K157" s="9" t="s">
        <v>181</v>
      </c>
      <c r="L157" s="9" t="s">
        <v>1389</v>
      </c>
      <c r="M157" s="11">
        <v>2006</v>
      </c>
      <c r="N157" s="9" t="s">
        <v>2304</v>
      </c>
      <c r="O157" s="9" t="s">
        <v>2305</v>
      </c>
      <c r="P157" s="12" t="s">
        <v>1001</v>
      </c>
      <c r="Q157" s="12" t="s">
        <v>1194</v>
      </c>
      <c r="R157" s="9" t="s">
        <v>2306</v>
      </c>
      <c r="S157" s="9" t="s">
        <v>1085</v>
      </c>
      <c r="T157" s="9" t="s">
        <v>2307</v>
      </c>
      <c r="U157" s="9" t="s">
        <v>1161</v>
      </c>
      <c r="V157" s="13" t="s">
        <v>1162</v>
      </c>
      <c r="W157" s="13" t="s">
        <v>1138</v>
      </c>
      <c r="X157" s="9" t="s">
        <v>1163</v>
      </c>
      <c r="Y157" s="9" t="s">
        <v>1152</v>
      </c>
      <c r="Z157" s="9" t="s">
        <v>2308</v>
      </c>
      <c r="AA157" s="9" t="s">
        <v>48</v>
      </c>
      <c r="AB157" s="9" t="s">
        <v>48</v>
      </c>
      <c r="AC157" s="9" t="s">
        <v>48</v>
      </c>
      <c r="AD157" s="9" t="s">
        <v>48</v>
      </c>
      <c r="AE157"/>
    </row>
    <row r="158" spans="1:31" ht="14.1" customHeight="1">
      <c r="A158" s="16">
        <v>154</v>
      </c>
      <c r="B158" s="6" t="s">
        <v>2309</v>
      </c>
      <c r="C158" s="20" t="s">
        <v>2310</v>
      </c>
      <c r="D158" s="16">
        <v>2</v>
      </c>
      <c r="E158" s="16" t="s">
        <v>2311</v>
      </c>
      <c r="F158" s="9" t="s">
        <v>2312</v>
      </c>
      <c r="G158" s="9" t="s">
        <v>76</v>
      </c>
      <c r="H158" s="9" t="s">
        <v>51</v>
      </c>
      <c r="I158" s="10" t="s">
        <v>2313</v>
      </c>
      <c r="J158" s="15" t="s">
        <v>982</v>
      </c>
      <c r="K158" s="9" t="s">
        <v>181</v>
      </c>
      <c r="L158" s="9" t="s">
        <v>2293</v>
      </c>
      <c r="M158" s="11">
        <v>2010</v>
      </c>
      <c r="N158" s="9" t="s">
        <v>2314</v>
      </c>
      <c r="O158" s="10" t="s">
        <v>2315</v>
      </c>
      <c r="P158" s="12" t="s">
        <v>38</v>
      </c>
      <c r="Q158" s="12" t="s">
        <v>2316</v>
      </c>
      <c r="R158" s="9" t="s">
        <v>2317</v>
      </c>
      <c r="S158" s="9" t="s">
        <v>1085</v>
      </c>
      <c r="T158" s="9" t="s">
        <v>2318</v>
      </c>
      <c r="U158" s="9" t="s">
        <v>1161</v>
      </c>
      <c r="V158" s="13" t="s">
        <v>1545</v>
      </c>
      <c r="W158" s="13" t="s">
        <v>1546</v>
      </c>
      <c r="X158" s="9" t="s">
        <v>1267</v>
      </c>
      <c r="Y158" s="9" t="s">
        <v>1152</v>
      </c>
      <c r="Z158" s="9" t="s">
        <v>2319</v>
      </c>
      <c r="AA158" s="9" t="s">
        <v>48</v>
      </c>
      <c r="AB158" s="9" t="s">
        <v>48</v>
      </c>
      <c r="AC158" s="9" t="s">
        <v>48</v>
      </c>
      <c r="AD158" s="9" t="s">
        <v>48</v>
      </c>
      <c r="AE158"/>
    </row>
    <row r="159" spans="1:31">
      <c r="A159" s="16">
        <v>155</v>
      </c>
      <c r="B159" s="6" t="s">
        <v>2320</v>
      </c>
      <c r="C159" s="20" t="s">
        <v>2310</v>
      </c>
      <c r="D159" s="16">
        <v>4</v>
      </c>
      <c r="E159" s="16" t="s">
        <v>2258</v>
      </c>
      <c r="F159" s="9" t="s">
        <v>2321</v>
      </c>
      <c r="G159" s="9" t="s">
        <v>76</v>
      </c>
      <c r="H159" s="9" t="s">
        <v>51</v>
      </c>
      <c r="I159" s="10" t="s">
        <v>2322</v>
      </c>
      <c r="J159" s="15" t="s">
        <v>982</v>
      </c>
      <c r="K159" s="9" t="s">
        <v>181</v>
      </c>
      <c r="L159" s="9" t="s">
        <v>2293</v>
      </c>
      <c r="M159" s="11">
        <v>42705</v>
      </c>
      <c r="N159" s="9" t="s">
        <v>2323</v>
      </c>
      <c r="O159" s="10" t="s">
        <v>2324</v>
      </c>
      <c r="P159" s="12" t="s">
        <v>56</v>
      </c>
      <c r="Q159" s="12" t="s">
        <v>57</v>
      </c>
      <c r="R159" s="9" t="s">
        <v>2325</v>
      </c>
      <c r="S159" s="9" t="s">
        <v>1003</v>
      </c>
      <c r="T159" s="9" t="s">
        <v>2326</v>
      </c>
      <c r="U159" s="9" t="s">
        <v>61</v>
      </c>
      <c r="V159" s="32" t="s">
        <v>1025</v>
      </c>
      <c r="W159" s="32" t="s">
        <v>62</v>
      </c>
      <c r="X159" s="9" t="s">
        <v>45</v>
      </c>
      <c r="Y159" s="9" t="s">
        <v>88</v>
      </c>
      <c r="Z159" s="9" t="s">
        <v>587</v>
      </c>
      <c r="AA159" s="9" t="s">
        <v>48</v>
      </c>
      <c r="AB159" s="9" t="s">
        <v>48</v>
      </c>
      <c r="AC159" s="9" t="s">
        <v>48</v>
      </c>
      <c r="AD159" s="9" t="s">
        <v>48</v>
      </c>
      <c r="AE159"/>
    </row>
    <row r="160" spans="1:31">
      <c r="A160" s="16">
        <v>156</v>
      </c>
      <c r="B160" s="6" t="s">
        <v>2327</v>
      </c>
      <c r="C160" s="7"/>
      <c r="D160" s="8"/>
      <c r="E160" s="8"/>
      <c r="F160" s="9" t="s">
        <v>2328</v>
      </c>
      <c r="G160" s="9" t="s">
        <v>76</v>
      </c>
      <c r="H160" s="9" t="s">
        <v>51</v>
      </c>
      <c r="I160" s="10" t="s">
        <v>2329</v>
      </c>
      <c r="J160" s="15" t="s">
        <v>982</v>
      </c>
      <c r="K160" s="9" t="s">
        <v>181</v>
      </c>
      <c r="L160" s="9" t="s">
        <v>2293</v>
      </c>
      <c r="M160" s="11">
        <v>42705</v>
      </c>
      <c r="N160" s="9" t="s">
        <v>2330</v>
      </c>
      <c r="O160" s="10" t="s">
        <v>2331</v>
      </c>
      <c r="P160" s="12" t="s">
        <v>56</v>
      </c>
      <c r="Q160" s="12" t="s">
        <v>57</v>
      </c>
      <c r="R160" s="9" t="s">
        <v>2332</v>
      </c>
      <c r="S160" s="9" t="s">
        <v>1003</v>
      </c>
      <c r="T160" s="32" t="s">
        <v>2333</v>
      </c>
      <c r="U160" s="9" t="s">
        <v>61</v>
      </c>
      <c r="V160" s="32" t="s">
        <v>1025</v>
      </c>
      <c r="W160" s="32" t="s">
        <v>62</v>
      </c>
      <c r="X160" s="9" t="s">
        <v>45</v>
      </c>
      <c r="Y160" s="9" t="s">
        <v>88</v>
      </c>
      <c r="Z160" s="9" t="s">
        <v>2334</v>
      </c>
      <c r="AA160" s="9" t="s">
        <v>48</v>
      </c>
      <c r="AB160" s="9" t="s">
        <v>48</v>
      </c>
      <c r="AC160" s="9" t="s">
        <v>48</v>
      </c>
      <c r="AD160" s="9" t="s">
        <v>48</v>
      </c>
      <c r="AE160"/>
    </row>
    <row r="161" spans="1:31">
      <c r="A161" s="16">
        <v>157</v>
      </c>
      <c r="B161" s="6" t="s">
        <v>2335</v>
      </c>
      <c r="C161" s="20" t="s">
        <v>2310</v>
      </c>
      <c r="D161" s="16">
        <v>3</v>
      </c>
      <c r="E161" s="16" t="s">
        <v>1129</v>
      </c>
      <c r="F161" s="9" t="s">
        <v>2336</v>
      </c>
      <c r="G161" s="9" t="s">
        <v>76</v>
      </c>
      <c r="H161" s="9" t="s">
        <v>51</v>
      </c>
      <c r="I161" s="10" t="s">
        <v>2337</v>
      </c>
      <c r="J161" s="15" t="s">
        <v>982</v>
      </c>
      <c r="K161" s="9" t="s">
        <v>181</v>
      </c>
      <c r="L161" s="9" t="s">
        <v>2293</v>
      </c>
      <c r="M161" s="11">
        <v>42705</v>
      </c>
      <c r="N161" s="9" t="s">
        <v>2338</v>
      </c>
      <c r="O161" s="10" t="s">
        <v>2339</v>
      </c>
      <c r="P161" s="12" t="s">
        <v>56</v>
      </c>
      <c r="Q161" s="12" t="s">
        <v>57</v>
      </c>
      <c r="R161" s="9" t="s">
        <v>2340</v>
      </c>
      <c r="S161" s="9" t="s">
        <v>1003</v>
      </c>
      <c r="T161" s="13" t="s">
        <v>2341</v>
      </c>
      <c r="U161" s="9" t="s">
        <v>61</v>
      </c>
      <c r="V161" s="32" t="s">
        <v>1025</v>
      </c>
      <c r="W161" s="32" t="s">
        <v>62</v>
      </c>
      <c r="X161" s="9" t="s">
        <v>45</v>
      </c>
      <c r="Y161" s="9" t="s">
        <v>88</v>
      </c>
      <c r="Z161" s="13" t="s">
        <v>2342</v>
      </c>
      <c r="AA161" s="9" t="s">
        <v>48</v>
      </c>
      <c r="AB161" s="9" t="s">
        <v>48</v>
      </c>
      <c r="AC161" s="9" t="s">
        <v>48</v>
      </c>
      <c r="AD161" s="9" t="s">
        <v>48</v>
      </c>
      <c r="AE161"/>
    </row>
    <row r="162" spans="1:31">
      <c r="A162" s="16">
        <v>158</v>
      </c>
      <c r="B162" s="6" t="s">
        <v>2343</v>
      </c>
      <c r="C162" s="20" t="s">
        <v>2310</v>
      </c>
      <c r="D162" s="16">
        <v>1</v>
      </c>
      <c r="E162" s="16" t="s">
        <v>2344</v>
      </c>
      <c r="F162" s="9" t="s">
        <v>2345</v>
      </c>
      <c r="G162" s="9" t="s">
        <v>76</v>
      </c>
      <c r="H162" s="9" t="s">
        <v>51</v>
      </c>
      <c r="I162" s="10" t="s">
        <v>475</v>
      </c>
      <c r="J162" s="15" t="s">
        <v>982</v>
      </c>
      <c r="K162" s="9" t="s">
        <v>181</v>
      </c>
      <c r="L162" s="9" t="s">
        <v>2293</v>
      </c>
      <c r="M162" s="11">
        <v>42705</v>
      </c>
      <c r="N162" s="10" t="s">
        <v>2346</v>
      </c>
      <c r="O162" s="9" t="s">
        <v>2347</v>
      </c>
      <c r="P162" s="12" t="s">
        <v>56</v>
      </c>
      <c r="Q162" s="12" t="s">
        <v>57</v>
      </c>
      <c r="R162" s="9" t="s">
        <v>2348</v>
      </c>
      <c r="S162" s="9" t="s">
        <v>1003</v>
      </c>
      <c r="T162" s="32" t="s">
        <v>2349</v>
      </c>
      <c r="U162" s="9" t="s">
        <v>61</v>
      </c>
      <c r="V162" s="32" t="s">
        <v>1025</v>
      </c>
      <c r="W162" s="32" t="s">
        <v>62</v>
      </c>
      <c r="X162" s="9" t="s">
        <v>45</v>
      </c>
      <c r="Y162" s="9" t="s">
        <v>88</v>
      </c>
      <c r="Z162" s="9" t="s">
        <v>2350</v>
      </c>
      <c r="AA162" s="9" t="s">
        <v>48</v>
      </c>
      <c r="AB162" s="9" t="s">
        <v>48</v>
      </c>
      <c r="AC162" s="9" t="s">
        <v>48</v>
      </c>
      <c r="AD162" s="9" t="s">
        <v>48</v>
      </c>
      <c r="AE162"/>
    </row>
    <row r="163" spans="1:31">
      <c r="A163" s="16">
        <v>159</v>
      </c>
      <c r="B163" s="6" t="s">
        <v>2351</v>
      </c>
      <c r="C163" s="20" t="s">
        <v>2310</v>
      </c>
      <c r="D163" s="16">
        <v>7</v>
      </c>
      <c r="E163" s="16" t="s">
        <v>1407</v>
      </c>
      <c r="F163" s="9" t="s">
        <v>2352</v>
      </c>
      <c r="G163" s="9" t="s">
        <v>76</v>
      </c>
      <c r="H163" s="9" t="s">
        <v>51</v>
      </c>
      <c r="I163" s="10" t="s">
        <v>2353</v>
      </c>
      <c r="J163" s="15" t="s">
        <v>982</v>
      </c>
      <c r="K163" s="9" t="s">
        <v>181</v>
      </c>
      <c r="L163" s="9" t="s">
        <v>2293</v>
      </c>
      <c r="M163" s="11">
        <v>42705</v>
      </c>
      <c r="N163" s="9" t="s">
        <v>2354</v>
      </c>
      <c r="O163" s="10" t="s">
        <v>2355</v>
      </c>
      <c r="P163" s="12" t="s">
        <v>56</v>
      </c>
      <c r="Q163" s="12" t="s">
        <v>57</v>
      </c>
      <c r="R163" s="9" t="s">
        <v>2356</v>
      </c>
      <c r="S163" s="9" t="s">
        <v>1003</v>
      </c>
      <c r="T163" s="32" t="s">
        <v>2357</v>
      </c>
      <c r="U163" s="9" t="s">
        <v>61</v>
      </c>
      <c r="V163" s="32" t="s">
        <v>1025</v>
      </c>
      <c r="W163" s="32" t="s">
        <v>62</v>
      </c>
      <c r="X163" s="9" t="s">
        <v>45</v>
      </c>
      <c r="Y163" s="9" t="s">
        <v>88</v>
      </c>
      <c r="Z163" s="32" t="s">
        <v>2358</v>
      </c>
      <c r="AA163" s="9" t="s">
        <v>48</v>
      </c>
      <c r="AB163" s="9" t="s">
        <v>48</v>
      </c>
      <c r="AC163" s="9" t="s">
        <v>48</v>
      </c>
      <c r="AD163" s="9" t="s">
        <v>48</v>
      </c>
      <c r="AE163"/>
    </row>
    <row r="164" spans="1:31">
      <c r="A164" s="16">
        <v>160</v>
      </c>
      <c r="B164" s="22" t="s">
        <v>2359</v>
      </c>
      <c r="C164" s="6"/>
      <c r="D164" s="16"/>
      <c r="E164" s="16"/>
      <c r="F164" s="10" t="s">
        <v>2360</v>
      </c>
      <c r="G164" s="10" t="s">
        <v>76</v>
      </c>
      <c r="H164" s="10" t="s">
        <v>32</v>
      </c>
      <c r="I164" s="10" t="s">
        <v>2361</v>
      </c>
      <c r="J164" s="15" t="s">
        <v>982</v>
      </c>
      <c r="K164" s="10" t="s">
        <v>181</v>
      </c>
      <c r="L164" s="10" t="s">
        <v>2293</v>
      </c>
      <c r="M164" s="11">
        <v>43177</v>
      </c>
      <c r="N164" s="10" t="s">
        <v>101</v>
      </c>
      <c r="O164" s="10" t="s">
        <v>102</v>
      </c>
      <c r="P164" s="10" t="s">
        <v>38</v>
      </c>
      <c r="Q164" s="10" t="s">
        <v>103</v>
      </c>
      <c r="R164" s="10" t="s">
        <v>104</v>
      </c>
      <c r="S164" s="10" t="s">
        <v>1062</v>
      </c>
      <c r="T164" s="10" t="s">
        <v>105</v>
      </c>
      <c r="U164" s="10" t="s">
        <v>106</v>
      </c>
      <c r="V164" s="10" t="s">
        <v>1221</v>
      </c>
      <c r="W164" s="10" t="s">
        <v>107</v>
      </c>
      <c r="X164" s="10" t="s">
        <v>45</v>
      </c>
      <c r="Y164" s="10" t="s">
        <v>88</v>
      </c>
      <c r="Z164" s="10" t="s">
        <v>108</v>
      </c>
      <c r="AA164" s="10" t="s">
        <v>48</v>
      </c>
      <c r="AB164" s="10" t="s">
        <v>48</v>
      </c>
      <c r="AC164" s="10" t="s">
        <v>48</v>
      </c>
      <c r="AD164" s="10" t="s">
        <v>48</v>
      </c>
      <c r="AE164"/>
    </row>
    <row r="165" spans="1:31">
      <c r="A165" s="16">
        <v>161</v>
      </c>
      <c r="B165" s="22" t="s">
        <v>2362</v>
      </c>
      <c r="C165" s="20" t="s">
        <v>2310</v>
      </c>
      <c r="D165" s="16">
        <v>5</v>
      </c>
      <c r="E165" s="16" t="s">
        <v>2363</v>
      </c>
      <c r="F165" s="10" t="s">
        <v>2364</v>
      </c>
      <c r="G165" s="10" t="s">
        <v>76</v>
      </c>
      <c r="H165" s="9" t="s">
        <v>51</v>
      </c>
      <c r="I165" s="10" t="s">
        <v>2365</v>
      </c>
      <c r="J165" s="15" t="s">
        <v>982</v>
      </c>
      <c r="K165" s="10" t="s">
        <v>181</v>
      </c>
      <c r="L165" s="10" t="s">
        <v>2293</v>
      </c>
      <c r="M165" s="11">
        <v>43220</v>
      </c>
      <c r="N165" s="10" t="s">
        <v>2366</v>
      </c>
      <c r="O165" s="10" t="s">
        <v>130</v>
      </c>
      <c r="P165" s="10" t="s">
        <v>56</v>
      </c>
      <c r="Q165" s="10" t="s">
        <v>121</v>
      </c>
      <c r="R165" s="63" t="s">
        <v>131</v>
      </c>
      <c r="S165" s="10" t="s">
        <v>1062</v>
      </c>
      <c r="T165" s="10" t="s">
        <v>123</v>
      </c>
      <c r="U165" s="10" t="s">
        <v>124</v>
      </c>
      <c r="V165" s="10" t="s">
        <v>1075</v>
      </c>
      <c r="W165" s="10" t="s">
        <v>62</v>
      </c>
      <c r="X165" s="10" t="s">
        <v>98</v>
      </c>
      <c r="Y165" s="10" t="s">
        <v>88</v>
      </c>
      <c r="Z165" s="10" t="s">
        <v>132</v>
      </c>
      <c r="AA165" s="10" t="s">
        <v>48</v>
      </c>
      <c r="AB165" s="10" t="s">
        <v>48</v>
      </c>
      <c r="AC165" s="10" t="s">
        <v>48</v>
      </c>
      <c r="AD165" s="10" t="s">
        <v>48</v>
      </c>
      <c r="AE165"/>
    </row>
    <row r="166" spans="1:31">
      <c r="A166" s="16">
        <v>162</v>
      </c>
      <c r="B166" s="58" t="s">
        <v>2367</v>
      </c>
      <c r="C166" s="7"/>
      <c r="D166" s="8"/>
      <c r="E166" s="8"/>
      <c r="F166" s="61" t="s">
        <v>2345</v>
      </c>
      <c r="G166" s="61" t="s">
        <v>1181</v>
      </c>
      <c r="H166" s="61" t="s">
        <v>51</v>
      </c>
      <c r="I166" s="59" t="s">
        <v>2368</v>
      </c>
      <c r="J166" s="62" t="s">
        <v>136</v>
      </c>
      <c r="K166" s="9" t="s">
        <v>1080</v>
      </c>
      <c r="L166" s="9" t="s">
        <v>2165</v>
      </c>
      <c r="M166" s="11">
        <v>2000</v>
      </c>
      <c r="N166" s="9" t="s">
        <v>2369</v>
      </c>
      <c r="O166" s="9"/>
      <c r="P166" s="12" t="s">
        <v>1453</v>
      </c>
      <c r="Q166" s="12" t="s">
        <v>2370</v>
      </c>
      <c r="R166" s="9" t="s">
        <v>2371</v>
      </c>
      <c r="S166" s="9" t="s">
        <v>1825</v>
      </c>
      <c r="T166" s="9" t="s">
        <v>2372</v>
      </c>
      <c r="U166" s="9" t="s">
        <v>1827</v>
      </c>
      <c r="V166" s="13" t="s">
        <v>1832</v>
      </c>
      <c r="W166" s="13" t="s">
        <v>1333</v>
      </c>
      <c r="X166" s="9" t="s">
        <v>2373</v>
      </c>
      <c r="Y166" s="9" t="s">
        <v>2374</v>
      </c>
      <c r="Z166" s="9" t="s">
        <v>2375</v>
      </c>
      <c r="AA166" s="9" t="s">
        <v>48</v>
      </c>
      <c r="AB166" s="9" t="s">
        <v>48</v>
      </c>
      <c r="AC166" s="9" t="s">
        <v>48</v>
      </c>
      <c r="AD166" s="9" t="s">
        <v>48</v>
      </c>
      <c r="AE166"/>
    </row>
    <row r="168" spans="1:31" ht="12.6" customHeight="1">
      <c r="F168" s="41" t="s">
        <v>770</v>
      </c>
      <c r="G168" s="41">
        <f>COUNTIF(G5:G166, "USE")</f>
        <v>148</v>
      </c>
    </row>
    <row r="169" spans="1:31">
      <c r="F169" s="42" t="s">
        <v>772</v>
      </c>
      <c r="G169" s="42">
        <f>COUNTIF(G5:G166, "KEEP")</f>
        <v>14</v>
      </c>
    </row>
    <row r="170" spans="1:31">
      <c r="F170" s="43" t="s">
        <v>777</v>
      </c>
      <c r="G170" s="43">
        <f>G168+G169</f>
        <v>162</v>
      </c>
    </row>
    <row r="173" spans="1:31">
      <c r="F173" s="306" t="s">
        <v>2376</v>
      </c>
      <c r="G173" s="307"/>
      <c r="H173" s="308"/>
      <c r="I173" s="309"/>
    </row>
    <row r="174" spans="1:31">
      <c r="F174" s="95" t="s">
        <v>10</v>
      </c>
      <c r="G174" s="95" t="s">
        <v>32</v>
      </c>
      <c r="H174" s="96" t="s">
        <v>51</v>
      </c>
      <c r="I174" s="95" t="s">
        <v>2377</v>
      </c>
    </row>
    <row r="175" spans="1:31">
      <c r="F175" s="52" t="s">
        <v>79</v>
      </c>
      <c r="G175" s="88">
        <f>COUNTIFS(H5:H168, "Laptop",K5:K168, "QC")</f>
        <v>2</v>
      </c>
      <c r="H175" s="14">
        <f>COUNTIFS(H5:H168, "Desktop",K5:K168, "QC")</f>
        <v>22</v>
      </c>
      <c r="I175" s="88">
        <f>COUNTIF(K4:K167, "QC")</f>
        <v>24</v>
      </c>
      <c r="L175" s="91"/>
    </row>
    <row r="176" spans="1:31">
      <c r="F176" s="52" t="s">
        <v>53</v>
      </c>
      <c r="G176" s="88">
        <f>COUNTIFS(H5:H168, "Laptop",K5:K168, "Sales")</f>
        <v>10</v>
      </c>
      <c r="H176" s="14">
        <f>COUNTIFS(H5:H168, "Desktop",K5:K168, "Sales")</f>
        <v>13</v>
      </c>
      <c r="I176" s="88">
        <f>COUNTIF(K4:K167, "Sales")</f>
        <v>23</v>
      </c>
      <c r="L176" s="92"/>
    </row>
    <row r="177" spans="6:12">
      <c r="F177" s="52" t="s">
        <v>35</v>
      </c>
      <c r="G177" s="88">
        <f>COUNTIFS(H5:H168, "Laptop",K5:K168, "IT")</f>
        <v>10</v>
      </c>
      <c r="H177" s="14">
        <f>COUNTIFS(H5:H168, "Desktop",K5:K168, "IT")</f>
        <v>9</v>
      </c>
      <c r="I177" s="88">
        <f>COUNTIF(K3:K168, "IT")</f>
        <v>19</v>
      </c>
      <c r="L177" s="92"/>
    </row>
    <row r="178" spans="6:12">
      <c r="F178" s="52" t="s">
        <v>983</v>
      </c>
      <c r="G178" s="88">
        <f>COUNTIFS(H5:H168, "Laptop",K5:K168, "Accounts")</f>
        <v>2</v>
      </c>
      <c r="H178" s="14">
        <f>COUNTIFS(H5:H168, "Desktop",K5:K168, "Accounts")</f>
        <v>9</v>
      </c>
      <c r="I178" s="88">
        <f>COUNTIF(K3:K169, "Accounts")</f>
        <v>11</v>
      </c>
      <c r="L178" s="92"/>
    </row>
    <row r="179" spans="6:12">
      <c r="F179" s="52" t="s">
        <v>1659</v>
      </c>
      <c r="G179" s="88">
        <f>COUNTIFS(H5:H168, "Laptop",K5:K168, "Printing")</f>
        <v>0</v>
      </c>
      <c r="H179" s="14">
        <f>COUNTIFS(H5:H168, "Desktop",K5:K168, "Printing")</f>
        <v>12</v>
      </c>
      <c r="I179" s="88">
        <f>COUNTIF(K4:K172, "Printing")</f>
        <v>12</v>
      </c>
      <c r="L179" s="92"/>
    </row>
    <row r="180" spans="6:12">
      <c r="F180" s="52" t="s">
        <v>181</v>
      </c>
      <c r="G180" s="88">
        <f>COUNTIFS(H6:H169, "Laptop",K6:K169, "Warehouse")</f>
        <v>1</v>
      </c>
      <c r="H180" s="14">
        <f>COUNTIFS(H5:H168, "Desktop",K5:K168, "Warehouse")</f>
        <v>9</v>
      </c>
      <c r="I180" s="88">
        <f>COUNTIF(K3:K169, "Warehouse")</f>
        <v>10</v>
      </c>
      <c r="L180" s="92"/>
    </row>
    <row r="181" spans="6:12">
      <c r="F181" s="52" t="s">
        <v>91</v>
      </c>
      <c r="G181" s="88">
        <f>COUNTIFS(H7:H167, "Laptop",K7:K167, "Slitting")</f>
        <v>3</v>
      </c>
      <c r="H181" s="14">
        <f>COUNTIFS(H6:H169, "Desktop",K6:K169, "Slitting")</f>
        <v>5</v>
      </c>
      <c r="I181" s="88">
        <f>COUNTIF(K3:K168, "Slitting")</f>
        <v>8</v>
      </c>
      <c r="L181" s="92"/>
    </row>
    <row r="182" spans="6:12">
      <c r="F182" s="52" t="s">
        <v>1466</v>
      </c>
      <c r="G182" s="88">
        <f>COUNTIFS(H7:H167, "Laptop",K7:K167, "Lamination")</f>
        <v>0</v>
      </c>
      <c r="H182" s="14">
        <f>COUNTIFS(H6:H169, "Desktop",K6:K169, "Lamination")</f>
        <v>7</v>
      </c>
      <c r="I182" s="88">
        <f>COUNTIF(K4:K169, "Lamination")</f>
        <v>7</v>
      </c>
      <c r="L182" s="92"/>
    </row>
    <row r="183" spans="6:12">
      <c r="F183" s="52" t="s">
        <v>1080</v>
      </c>
      <c r="G183" s="88">
        <f>COUNTIFS(H7:H167, "Laptop",K7:K167, "Admin")</f>
        <v>0</v>
      </c>
      <c r="H183" s="14">
        <f>COUNTIFS(H6:H169, "Desktop",K6:K169, "Admin")</f>
        <v>5</v>
      </c>
      <c r="I183" s="88">
        <f>COUNTIF(K3:K170, "Admin")</f>
        <v>5</v>
      </c>
      <c r="L183" s="92"/>
    </row>
    <row r="184" spans="6:12">
      <c r="F184" s="52" t="s">
        <v>1230</v>
      </c>
      <c r="G184" s="88">
        <f>COUNTIFS(H7:H167, "Laptop",K7:K167, "HR")</f>
        <v>1</v>
      </c>
      <c r="H184" s="14">
        <f>COUNTIFS(H6:H169, "Desktop",K6:K169, "HR")</f>
        <v>6</v>
      </c>
      <c r="I184" s="52">
        <f>COUNTIF(K4:K171, "HR")</f>
        <v>7</v>
      </c>
      <c r="L184" s="92"/>
    </row>
    <row r="185" spans="6:12">
      <c r="F185" s="52" t="s">
        <v>199</v>
      </c>
      <c r="G185" s="88">
        <f>COUNTIFS(H7:H167, "Laptop",K7:K167, "Planning")</f>
        <v>1</v>
      </c>
      <c r="H185" s="14">
        <f>COUNTIFS(H6:H169, "Desktop",K6:K169, "Planning")</f>
        <v>4</v>
      </c>
      <c r="I185" s="88">
        <f>COUNTIF(K5:K172, "Planning")</f>
        <v>5</v>
      </c>
      <c r="L185" s="92"/>
    </row>
    <row r="186" spans="6:12">
      <c r="F186" s="52" t="s">
        <v>1132</v>
      </c>
      <c r="G186" s="88">
        <f>COUNTIFS(H7:H167, "Laptop",K7:K167, "Bag Making")</f>
        <v>0</v>
      </c>
      <c r="H186" s="14">
        <f>COUNTIFS(H6:H169, "Desktop",K6:K169, "Bag Making")</f>
        <v>3</v>
      </c>
      <c r="I186" s="88">
        <f>COUNTIF(K4:K169, "Bag Making")</f>
        <v>3</v>
      </c>
      <c r="L186" s="92"/>
    </row>
    <row r="187" spans="6:12">
      <c r="F187" s="52" t="s">
        <v>1209</v>
      </c>
      <c r="G187" s="88">
        <f>COUNTIFS(H7:H167, "Laptop",K7:K167, "Flexo")</f>
        <v>1</v>
      </c>
      <c r="H187" s="14">
        <f>COUNTIFS(H6:H169, "Desktop",K6:K169, "Flexo")</f>
        <v>2</v>
      </c>
      <c r="I187" s="88">
        <f>COUNTIF(K5:K168, "Flexo")</f>
        <v>3</v>
      </c>
      <c r="L187" s="92"/>
    </row>
    <row r="188" spans="6:12">
      <c r="F188" s="52" t="s">
        <v>73</v>
      </c>
      <c r="G188" s="88">
        <f>COUNTIFS(H7:H167, "Laptop",K7:K167, "CPP")</f>
        <v>0</v>
      </c>
      <c r="H188" s="14">
        <f>COUNTIFS(H6:H169, "Desktop",K6:K169, "CPP")</f>
        <v>3</v>
      </c>
      <c r="I188" s="88">
        <f>COUNTIF(K3:K169, "CPP")</f>
        <v>3</v>
      </c>
      <c r="L188" s="92"/>
    </row>
    <row r="189" spans="6:12">
      <c r="F189" s="52" t="s">
        <v>1524</v>
      </c>
      <c r="G189" s="88">
        <f>COUNTIFS(H7:H167, "Laptop",K7:K167, "Maintenance")</f>
        <v>1</v>
      </c>
      <c r="H189" s="14">
        <f>COUNTIFS(H6:H169, "Desktop",K6:K169, "Maintenance")</f>
        <v>3</v>
      </c>
      <c r="I189" s="88">
        <f>COUNTIF(K3:K169, "Maintenance")</f>
        <v>4</v>
      </c>
      <c r="L189" s="92"/>
    </row>
    <row r="190" spans="6:12">
      <c r="F190" s="52" t="s">
        <v>1562</v>
      </c>
      <c r="G190" s="88">
        <f>COUNTIFS(H7:H167, "Laptop",K7:K167, "Metallizing")</f>
        <v>1</v>
      </c>
      <c r="H190" s="14">
        <f>COUNTIFS(H7:H170, "Desktop",K7:K170, "Metallizing")</f>
        <v>2</v>
      </c>
      <c r="I190" s="88">
        <f>COUNTIF(K3:K169, "Metallizing")</f>
        <v>3</v>
      </c>
      <c r="L190" s="92"/>
    </row>
    <row r="191" spans="6:12">
      <c r="F191" s="52" t="s">
        <v>1627</v>
      </c>
      <c r="G191" s="88">
        <f>COUNTIFS(H7:H167, "Laptop",K7:K167, "Prepress")</f>
        <v>0</v>
      </c>
      <c r="H191" s="14">
        <f>COUNTIFS(H8:H171, "Desktop",K8:K171, "Prepress")</f>
        <v>4</v>
      </c>
      <c r="I191" s="88">
        <f>COUNTIF(K3:K169, "Prepress")</f>
        <v>4</v>
      </c>
      <c r="L191" s="92"/>
    </row>
    <row r="192" spans="6:12">
      <c r="F192" s="52" t="s">
        <v>209</v>
      </c>
      <c r="G192" s="88">
        <f>COUNTIFS(H8:H168,"Laptop",K8:K168,"Purchasing")</f>
        <v>0</v>
      </c>
      <c r="H192" s="14">
        <f>COUNTIFS(H8:H171, "Desktop",K8:K171, "Purchasing")</f>
        <v>3</v>
      </c>
      <c r="I192" s="88">
        <f>COUNTIF(K3:K169, "Purchasing")</f>
        <v>3</v>
      </c>
      <c r="L192" s="92"/>
    </row>
    <row r="193" spans="6:12">
      <c r="F193" s="52" t="s">
        <v>2016</v>
      </c>
      <c r="G193" s="88">
        <f>COUNTIFS(H9:H169,"Laptop",K9:K169,"R&amp;D")</f>
        <v>0</v>
      </c>
      <c r="H193" s="14">
        <f>COUNTIFS(H8:H171, "Desktop",K8:K171, "R&amp;D")</f>
        <v>3</v>
      </c>
      <c r="I193" s="88">
        <f>COUNTIF(K3:K169, "R&amp;D")</f>
        <v>3</v>
      </c>
      <c r="L193" s="92"/>
    </row>
    <row r="194" spans="6:12">
      <c r="F194" s="52" t="s">
        <v>2212</v>
      </c>
      <c r="G194" s="88">
        <f>COUNTIFS(H10:H170,"Laptop",K10:K170,"SCA")</f>
        <v>2</v>
      </c>
      <c r="H194" s="14">
        <f>COUNTIFS(H8:H171, "Desktop",K8:K171, "SCA")</f>
        <v>0</v>
      </c>
      <c r="I194" s="88">
        <f>COUNTIF(K3:K169, "SCA")</f>
        <v>2</v>
      </c>
      <c r="L194" s="92"/>
    </row>
    <row r="195" spans="6:12">
      <c r="F195" s="52" t="s">
        <v>1170</v>
      </c>
      <c r="G195" s="88">
        <f>COUNTIFS(H11:H171,"Laptop",K11:K171,"BOD")</f>
        <v>1</v>
      </c>
      <c r="H195" s="14">
        <f>COUNTIFS(H8:H171, "Desktop",K8:K171, "BOD")</f>
        <v>0</v>
      </c>
      <c r="I195" s="88">
        <f>COUNTIF(K3:K169, "BOD")</f>
        <v>1</v>
      </c>
      <c r="L195" s="92"/>
    </row>
    <row r="196" spans="6:12">
      <c r="F196" s="52" t="s">
        <v>2038</v>
      </c>
      <c r="G196" s="88">
        <f>COUNTIFS(H12:H172,"Laptop",K12:K172,"Recycle")</f>
        <v>0</v>
      </c>
      <c r="H196" s="14">
        <f>COUNTIFS(H8:H171, "Desktop",K8:K171, "Recycle")</f>
        <v>1</v>
      </c>
      <c r="I196" s="88">
        <f>COUNTIF(K3:K169, "Recycle")</f>
        <v>1</v>
      </c>
      <c r="L196" s="92"/>
    </row>
    <row r="197" spans="6:12" ht="18.75">
      <c r="F197" s="94" t="s">
        <v>2378</v>
      </c>
      <c r="G197" s="89">
        <f>SUM(G175:G196)</f>
        <v>36</v>
      </c>
      <c r="H197" s="90">
        <f>SUM(H175:H196)</f>
        <v>125</v>
      </c>
      <c r="I197" s="89">
        <f>SUBTOTAL(9,I175:I196)</f>
        <v>161</v>
      </c>
      <c r="L197" s="92"/>
    </row>
    <row r="198" spans="6:12" ht="18.75">
      <c r="L198" s="93"/>
    </row>
  </sheetData>
  <autoFilter ref="A4:AE166" xr:uid="{00000000-0009-0000-0000-000004000000}"/>
  <mergeCells count="1">
    <mergeCell ref="F173:I173"/>
  </mergeCells>
  <conditionalFormatting sqref="G5:G166">
    <cfRule type="containsText" dxfId="5" priority="1" operator="containsText" text="USE">
      <formula>NOT(ISERROR(SEARCH("USE",G5)))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topLeftCell="A3" zoomScale="84" zoomScaleNormal="84" workbookViewId="0">
      <selection activeCell="B34" sqref="B34"/>
    </sheetView>
  </sheetViews>
  <sheetFormatPr defaultColWidth="8.85546875" defaultRowHeight="15"/>
  <cols>
    <col min="1" max="1" width="13.28515625" bestFit="1" customWidth="1"/>
    <col min="2" max="2" width="12.28515625" bestFit="1" customWidth="1"/>
    <col min="3" max="4" width="11.140625" bestFit="1" customWidth="1"/>
    <col min="5" max="5" width="12.140625" bestFit="1" customWidth="1"/>
    <col min="6" max="6" width="13.140625" bestFit="1" customWidth="1"/>
    <col min="7" max="7" width="14.28515625" bestFit="1" customWidth="1"/>
    <col min="8" max="8" width="19.85546875" bestFit="1" customWidth="1"/>
  </cols>
  <sheetData>
    <row r="1" spans="1:8" s="132" customFormat="1" ht="23.25">
      <c r="A1" s="131" t="s">
        <v>2379</v>
      </c>
    </row>
    <row r="3" spans="1:8">
      <c r="A3" s="141" t="s">
        <v>2380</v>
      </c>
      <c r="B3" s="146" t="s">
        <v>2381</v>
      </c>
      <c r="C3" s="147" t="s">
        <v>2382</v>
      </c>
      <c r="D3" s="147" t="s">
        <v>2383</v>
      </c>
      <c r="E3" s="147" t="s">
        <v>2384</v>
      </c>
      <c r="F3" s="147" t="s">
        <v>2385</v>
      </c>
      <c r="G3" s="147" t="s">
        <v>2386</v>
      </c>
      <c r="H3" s="148" t="s">
        <v>2387</v>
      </c>
    </row>
    <row r="4" spans="1:8">
      <c r="A4" s="142" t="s">
        <v>983</v>
      </c>
      <c r="B4" s="136">
        <v>0</v>
      </c>
      <c r="C4" s="137">
        <v>8</v>
      </c>
      <c r="D4" s="137">
        <v>0</v>
      </c>
      <c r="E4" s="137">
        <v>0</v>
      </c>
      <c r="F4" s="137">
        <v>3</v>
      </c>
      <c r="G4" s="137">
        <v>9</v>
      </c>
      <c r="H4" s="138">
        <v>12</v>
      </c>
    </row>
    <row r="5" spans="1:8">
      <c r="A5" s="143" t="s">
        <v>1080</v>
      </c>
      <c r="B5" s="139">
        <v>0</v>
      </c>
      <c r="C5" s="92">
        <v>3</v>
      </c>
      <c r="D5" s="92">
        <v>0</v>
      </c>
      <c r="E5" s="92">
        <v>0</v>
      </c>
      <c r="F5" s="92">
        <v>0</v>
      </c>
      <c r="G5" s="92">
        <v>4</v>
      </c>
      <c r="H5" s="49">
        <v>4</v>
      </c>
    </row>
    <row r="6" spans="1:8">
      <c r="A6" s="143" t="s">
        <v>1132</v>
      </c>
      <c r="B6" s="139">
        <v>0</v>
      </c>
      <c r="C6" s="92">
        <v>0</v>
      </c>
      <c r="D6" s="92">
        <v>0</v>
      </c>
      <c r="E6" s="92">
        <v>0</v>
      </c>
      <c r="F6" s="92">
        <v>0</v>
      </c>
      <c r="G6" s="92">
        <v>5</v>
      </c>
      <c r="H6" s="49">
        <v>5</v>
      </c>
    </row>
    <row r="7" spans="1:8">
      <c r="A7" s="143" t="s">
        <v>1170</v>
      </c>
      <c r="B7" s="139">
        <v>0</v>
      </c>
      <c r="C7" s="92">
        <v>0</v>
      </c>
      <c r="D7" s="92">
        <v>0</v>
      </c>
      <c r="E7" s="92">
        <v>0</v>
      </c>
      <c r="F7" s="92">
        <v>2</v>
      </c>
      <c r="G7" s="92">
        <v>0</v>
      </c>
      <c r="H7" s="49">
        <v>2</v>
      </c>
    </row>
    <row r="8" spans="1:8">
      <c r="A8" s="143" t="s">
        <v>73</v>
      </c>
      <c r="B8" s="139">
        <v>0</v>
      </c>
      <c r="C8" s="92">
        <v>0</v>
      </c>
      <c r="D8" s="92">
        <v>0</v>
      </c>
      <c r="E8" s="92">
        <v>2</v>
      </c>
      <c r="F8" s="92">
        <v>0</v>
      </c>
      <c r="G8" s="92">
        <v>0</v>
      </c>
      <c r="H8" s="49">
        <v>4</v>
      </c>
    </row>
    <row r="9" spans="1:8">
      <c r="A9" s="143" t="s">
        <v>1209</v>
      </c>
      <c r="B9" s="139">
        <v>0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49">
        <v>1</v>
      </c>
    </row>
    <row r="10" spans="1:8">
      <c r="A10" s="143" t="s">
        <v>1230</v>
      </c>
      <c r="B10" s="139">
        <v>0</v>
      </c>
      <c r="C10" s="92">
        <v>0</v>
      </c>
      <c r="D10" s="92">
        <v>0</v>
      </c>
      <c r="E10" s="92">
        <v>1</v>
      </c>
      <c r="F10" s="92">
        <v>2</v>
      </c>
      <c r="G10" s="92">
        <v>4</v>
      </c>
      <c r="H10" s="49">
        <v>6</v>
      </c>
    </row>
    <row r="11" spans="1:8">
      <c r="A11" s="143" t="s">
        <v>35</v>
      </c>
      <c r="B11" s="139">
        <v>0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49">
        <v>0</v>
      </c>
    </row>
    <row r="12" spans="1:8">
      <c r="A12" s="143" t="s">
        <v>1466</v>
      </c>
      <c r="B12" s="139">
        <v>0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49">
        <v>0</v>
      </c>
    </row>
    <row r="13" spans="1:8">
      <c r="A13" s="143" t="s">
        <v>1524</v>
      </c>
      <c r="B13" s="139">
        <v>0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49">
        <v>0</v>
      </c>
    </row>
    <row r="14" spans="1:8">
      <c r="A14" s="143" t="s">
        <v>1562</v>
      </c>
      <c r="B14" s="139">
        <v>0</v>
      </c>
      <c r="C14" s="92">
        <v>0</v>
      </c>
      <c r="D14" s="92">
        <v>0</v>
      </c>
      <c r="E14" s="92">
        <v>2</v>
      </c>
      <c r="F14" s="92">
        <v>0</v>
      </c>
      <c r="G14" s="92">
        <v>5</v>
      </c>
      <c r="H14" s="49">
        <v>0</v>
      </c>
    </row>
    <row r="15" spans="1:8">
      <c r="A15" s="143" t="s">
        <v>199</v>
      </c>
      <c r="B15" s="139">
        <v>0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49">
        <v>0</v>
      </c>
    </row>
    <row r="16" spans="1:8">
      <c r="A16" s="143" t="s">
        <v>1627</v>
      </c>
      <c r="B16" s="139">
        <v>0</v>
      </c>
      <c r="C16" s="92">
        <v>0</v>
      </c>
      <c r="D16" s="92">
        <v>0</v>
      </c>
      <c r="E16" s="92">
        <v>0</v>
      </c>
      <c r="F16" s="92">
        <v>0</v>
      </c>
      <c r="G16" s="92">
        <v>0</v>
      </c>
      <c r="H16" s="49">
        <v>0</v>
      </c>
    </row>
    <row r="17" spans="1:8">
      <c r="A17" s="143" t="s">
        <v>1659</v>
      </c>
      <c r="B17" s="139">
        <v>0</v>
      </c>
      <c r="C17" s="92">
        <v>0</v>
      </c>
      <c r="D17" s="92">
        <v>0</v>
      </c>
      <c r="E17" s="92">
        <v>0</v>
      </c>
      <c r="F17" s="92">
        <v>0</v>
      </c>
      <c r="G17" s="92">
        <v>0</v>
      </c>
      <c r="H17" s="49">
        <v>0</v>
      </c>
    </row>
    <row r="18" spans="1:8">
      <c r="A18" s="143" t="s">
        <v>209</v>
      </c>
      <c r="B18" s="139">
        <v>0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49">
        <v>4</v>
      </c>
    </row>
    <row r="19" spans="1:8">
      <c r="A19" s="143" t="s">
        <v>79</v>
      </c>
      <c r="B19" s="139">
        <v>0</v>
      </c>
      <c r="C19" s="92">
        <v>0</v>
      </c>
      <c r="D19" s="92">
        <v>0</v>
      </c>
      <c r="E19" s="92">
        <v>0</v>
      </c>
      <c r="F19" s="92">
        <v>0</v>
      </c>
      <c r="G19" s="92">
        <v>0</v>
      </c>
      <c r="H19" s="49">
        <v>0</v>
      </c>
    </row>
    <row r="20" spans="1:8">
      <c r="A20" s="143" t="s">
        <v>2016</v>
      </c>
      <c r="B20" s="139">
        <v>0</v>
      </c>
      <c r="C20" s="92">
        <v>0</v>
      </c>
      <c r="D20" s="92">
        <v>0</v>
      </c>
      <c r="E20" s="92">
        <v>0</v>
      </c>
      <c r="F20" s="92">
        <v>0</v>
      </c>
      <c r="G20" s="92">
        <v>0</v>
      </c>
      <c r="H20" s="49">
        <v>0</v>
      </c>
    </row>
    <row r="21" spans="1:8">
      <c r="A21" s="143" t="s">
        <v>2038</v>
      </c>
      <c r="B21" s="139">
        <v>0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49">
        <v>1</v>
      </c>
    </row>
    <row r="22" spans="1:8">
      <c r="A22" s="143" t="s">
        <v>53</v>
      </c>
      <c r="B22" s="139">
        <v>0</v>
      </c>
      <c r="C22" s="92">
        <v>0</v>
      </c>
      <c r="D22" s="92">
        <v>0</v>
      </c>
      <c r="E22" s="92">
        <v>0</v>
      </c>
      <c r="F22" s="92">
        <v>0</v>
      </c>
      <c r="G22" s="92">
        <v>0</v>
      </c>
      <c r="H22" s="49">
        <v>21</v>
      </c>
    </row>
    <row r="23" spans="1:8">
      <c r="A23" s="143" t="s">
        <v>2212</v>
      </c>
      <c r="B23" s="139">
        <v>0</v>
      </c>
      <c r="C23" s="92">
        <v>0</v>
      </c>
      <c r="D23" s="92">
        <v>0</v>
      </c>
      <c r="E23" s="92">
        <v>0</v>
      </c>
      <c r="F23" s="92">
        <v>0</v>
      </c>
      <c r="G23" s="92">
        <v>0</v>
      </c>
      <c r="H23" s="49">
        <v>3</v>
      </c>
    </row>
    <row r="24" spans="1:8">
      <c r="A24" s="143" t="s">
        <v>91</v>
      </c>
      <c r="B24" s="139">
        <v>0</v>
      </c>
      <c r="C24" s="92">
        <v>0</v>
      </c>
      <c r="D24" s="92">
        <v>0</v>
      </c>
      <c r="E24" s="92">
        <v>0</v>
      </c>
      <c r="F24" s="92">
        <v>0</v>
      </c>
      <c r="G24" s="92">
        <v>0</v>
      </c>
      <c r="H24" s="49">
        <v>9</v>
      </c>
    </row>
    <row r="25" spans="1:8">
      <c r="A25" s="144" t="s">
        <v>181</v>
      </c>
      <c r="B25" s="139">
        <v>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49">
        <v>10</v>
      </c>
    </row>
    <row r="26" spans="1:8">
      <c r="A26" s="145" t="s">
        <v>2388</v>
      </c>
      <c r="B26" s="140">
        <v>0</v>
      </c>
      <c r="C26" s="133">
        <v>11</v>
      </c>
      <c r="D26" s="133">
        <v>0</v>
      </c>
      <c r="E26" s="133">
        <v>5</v>
      </c>
      <c r="F26" s="133">
        <v>7</v>
      </c>
      <c r="G26" s="133">
        <v>27</v>
      </c>
      <c r="H26" s="134">
        <v>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22"/>
  <sheetViews>
    <sheetView topLeftCell="A28" workbookViewId="0">
      <selection activeCell="G53" sqref="G53"/>
    </sheetView>
  </sheetViews>
  <sheetFormatPr defaultColWidth="8.42578125" defaultRowHeight="15"/>
  <cols>
    <col min="1" max="1" width="8.140625" style="5" bestFit="1" customWidth="1"/>
    <col min="2" max="2" width="16.140625" style="5" bestFit="1" customWidth="1"/>
    <col min="3" max="3" width="12.28515625" style="1" hidden="1" customWidth="1"/>
    <col min="4" max="4" width="4.42578125" style="4" hidden="1" customWidth="1"/>
    <col min="5" max="5" width="11.85546875" style="4" hidden="1" customWidth="1"/>
    <col min="6" max="6" width="19.140625" style="2" bestFit="1" customWidth="1"/>
    <col min="7" max="7" width="14.28515625" style="2" customWidth="1"/>
    <col min="8" max="8" width="9.140625" style="2" bestFit="1" customWidth="1"/>
    <col min="9" max="9" width="11.42578125" style="2" customWidth="1"/>
    <col min="10" max="10" width="57.140625" style="2" customWidth="1"/>
    <col min="11" max="11" width="7.85546875" style="14" customWidth="1"/>
    <col min="12" max="12" width="17.85546875" style="2" customWidth="1"/>
    <col min="13" max="13" width="22.42578125" style="2" customWidth="1"/>
    <col min="14" max="14" width="12.28515625" style="3" customWidth="1"/>
    <col min="15" max="15" width="17.42578125" style="2" customWidth="1"/>
    <col min="16" max="16" width="16.28515625" style="2" customWidth="1"/>
    <col min="17" max="17" width="8.42578125" style="2" bestFit="1" customWidth="1"/>
    <col min="18" max="18" width="31.42578125" style="2" bestFit="1" customWidth="1"/>
    <col min="19" max="19" width="33.85546875" style="2" bestFit="1" customWidth="1"/>
    <col min="20" max="20" width="30.28515625" style="2" bestFit="1" customWidth="1"/>
    <col min="21" max="21" width="36.85546875" style="2" bestFit="1" customWidth="1"/>
    <col min="22" max="22" width="22.85546875" style="2" bestFit="1" customWidth="1"/>
    <col min="23" max="23" width="15.42578125" style="2" bestFit="1" customWidth="1"/>
    <col min="24" max="24" width="13.42578125" style="2" customWidth="1"/>
    <col min="25" max="25" width="18.42578125" style="2" bestFit="1" customWidth="1"/>
    <col min="26" max="26" width="36.140625" style="2" bestFit="1" customWidth="1"/>
    <col min="27" max="27" width="47.42578125" style="2" bestFit="1" customWidth="1"/>
    <col min="28" max="28" width="35.140625" style="2" bestFit="1" customWidth="1"/>
    <col min="29" max="29" width="49.28515625" style="2" bestFit="1" customWidth="1"/>
    <col min="30" max="30" width="18" style="2" bestFit="1" customWidth="1"/>
    <col min="31" max="31" width="21.28515625" style="2" bestFit="1" customWidth="1"/>
  </cols>
  <sheetData>
    <row r="1" spans="1:31">
      <c r="A1" s="17" t="s">
        <v>968</v>
      </c>
      <c r="B1" s="17" t="s">
        <v>790</v>
      </c>
      <c r="C1" s="98" t="s">
        <v>969</v>
      </c>
      <c r="D1" s="98" t="s">
        <v>970</v>
      </c>
      <c r="E1" s="98" t="s">
        <v>971</v>
      </c>
      <c r="F1" s="18" t="s">
        <v>2</v>
      </c>
      <c r="G1" s="18" t="s">
        <v>2389</v>
      </c>
      <c r="H1" s="18" t="s">
        <v>3</v>
      </c>
      <c r="I1" s="18" t="s">
        <v>5</v>
      </c>
      <c r="J1" s="18" t="s">
        <v>2390</v>
      </c>
      <c r="K1" s="19" t="s">
        <v>9</v>
      </c>
      <c r="L1" s="18" t="s">
        <v>10</v>
      </c>
      <c r="M1" s="18" t="s">
        <v>972</v>
      </c>
      <c r="N1" s="99" t="s">
        <v>11</v>
      </c>
      <c r="O1" s="18" t="s">
        <v>973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974</v>
      </c>
      <c r="X1" s="100" t="s">
        <v>21</v>
      </c>
      <c r="Y1" s="18" t="s">
        <v>22</v>
      </c>
      <c r="Z1" s="18" t="s">
        <v>23</v>
      </c>
      <c r="AA1" s="18" t="s">
        <v>24</v>
      </c>
      <c r="AB1" s="18" t="s">
        <v>975</v>
      </c>
      <c r="AC1" s="18" t="s">
        <v>976</v>
      </c>
      <c r="AD1" s="18" t="s">
        <v>975</v>
      </c>
      <c r="AE1" s="18" t="s">
        <v>976</v>
      </c>
    </row>
    <row r="2" spans="1:31">
      <c r="A2" s="6">
        <v>1</v>
      </c>
      <c r="B2" s="6" t="s">
        <v>2224</v>
      </c>
      <c r="C2" s="7"/>
      <c r="D2" s="8"/>
      <c r="E2" s="8"/>
      <c r="F2" s="9" t="s">
        <v>2225</v>
      </c>
      <c r="G2" s="9"/>
      <c r="H2" s="9" t="s">
        <v>76</v>
      </c>
      <c r="I2" s="9" t="s">
        <v>32</v>
      </c>
      <c r="J2" s="10" t="s">
        <v>2226</v>
      </c>
      <c r="K2" s="15" t="s">
        <v>982</v>
      </c>
      <c r="L2" s="9" t="s">
        <v>91</v>
      </c>
      <c r="M2" s="9" t="s">
        <v>984</v>
      </c>
      <c r="N2" s="11">
        <v>2010</v>
      </c>
      <c r="O2" s="9"/>
      <c r="P2" s="9"/>
      <c r="Q2" s="12" t="s">
        <v>38</v>
      </c>
      <c r="R2" s="12" t="s">
        <v>2227</v>
      </c>
      <c r="S2" s="9" t="s">
        <v>2228</v>
      </c>
      <c r="T2" s="9" t="s">
        <v>1085</v>
      </c>
      <c r="U2" s="9" t="s">
        <v>2229</v>
      </c>
      <c r="V2" s="9" t="s">
        <v>2230</v>
      </c>
      <c r="W2" s="13" t="s">
        <v>2231</v>
      </c>
      <c r="X2" s="13" t="s">
        <v>44</v>
      </c>
      <c r="Y2" s="9" t="s">
        <v>1188</v>
      </c>
      <c r="Z2" s="9" t="s">
        <v>1152</v>
      </c>
      <c r="AA2" s="9" t="s">
        <v>2232</v>
      </c>
      <c r="AB2" s="9" t="s">
        <v>48</v>
      </c>
      <c r="AC2" s="9" t="s">
        <v>48</v>
      </c>
      <c r="AD2" s="9" t="s">
        <v>48</v>
      </c>
      <c r="AE2" s="9" t="s">
        <v>48</v>
      </c>
    </row>
    <row r="3" spans="1:31">
      <c r="A3" s="39">
        <v>2</v>
      </c>
      <c r="B3" s="39" t="s">
        <v>2391</v>
      </c>
      <c r="C3" s="101"/>
      <c r="D3" s="102"/>
      <c r="E3" s="102"/>
      <c r="F3" s="103" t="s">
        <v>2392</v>
      </c>
      <c r="G3" s="103"/>
      <c r="H3" s="103" t="s">
        <v>2393</v>
      </c>
      <c r="I3" s="103" t="s">
        <v>51</v>
      </c>
      <c r="J3" s="104" t="s">
        <v>35</v>
      </c>
      <c r="K3" s="105" t="s">
        <v>34</v>
      </c>
      <c r="L3" s="103" t="s">
        <v>35</v>
      </c>
      <c r="M3" s="103" t="s">
        <v>984</v>
      </c>
      <c r="N3" s="106">
        <v>2006</v>
      </c>
      <c r="O3" s="103"/>
      <c r="P3" s="103"/>
      <c r="Q3" s="107" t="s">
        <v>56</v>
      </c>
      <c r="R3" s="107" t="s">
        <v>1083</v>
      </c>
      <c r="S3" s="103" t="s">
        <v>2394</v>
      </c>
      <c r="T3" s="103" t="s">
        <v>1085</v>
      </c>
      <c r="U3" s="103" t="s">
        <v>2395</v>
      </c>
      <c r="V3" s="103" t="s">
        <v>1087</v>
      </c>
      <c r="W3" s="108" t="s">
        <v>1114</v>
      </c>
      <c r="X3" s="108" t="s">
        <v>1089</v>
      </c>
      <c r="Y3" s="103" t="s">
        <v>1370</v>
      </c>
      <c r="Z3" s="103" t="s">
        <v>1139</v>
      </c>
      <c r="AA3" s="103" t="s">
        <v>2396</v>
      </c>
      <c r="AB3" s="103" t="s">
        <v>48</v>
      </c>
      <c r="AC3" s="103" t="s">
        <v>48</v>
      </c>
      <c r="AD3" s="103" t="s">
        <v>48</v>
      </c>
      <c r="AE3" s="103" t="s">
        <v>48</v>
      </c>
    </row>
    <row r="4" spans="1:31">
      <c r="A4" s="109">
        <v>3</v>
      </c>
      <c r="B4" s="109" t="s">
        <v>2397</v>
      </c>
      <c r="C4" s="110"/>
      <c r="D4" s="111"/>
      <c r="E4" s="111"/>
      <c r="F4" s="112" t="s">
        <v>2154</v>
      </c>
      <c r="G4" s="112" t="s">
        <v>2398</v>
      </c>
      <c r="H4" s="112" t="s">
        <v>2399</v>
      </c>
      <c r="I4" s="112" t="s">
        <v>51</v>
      </c>
      <c r="J4" s="113" t="s">
        <v>2400</v>
      </c>
      <c r="K4" s="114"/>
      <c r="L4" s="112" t="s">
        <v>79</v>
      </c>
      <c r="M4" s="112" t="s">
        <v>2401</v>
      </c>
      <c r="N4" s="115">
        <v>2008</v>
      </c>
      <c r="O4" s="112" t="s">
        <v>2402</v>
      </c>
      <c r="P4" s="112"/>
      <c r="Q4" s="115" t="s">
        <v>38</v>
      </c>
      <c r="R4" s="115" t="s">
        <v>2403</v>
      </c>
      <c r="S4" s="112" t="s">
        <v>2404</v>
      </c>
      <c r="T4" s="112" t="s">
        <v>1085</v>
      </c>
      <c r="U4" s="112" t="s">
        <v>2405</v>
      </c>
      <c r="V4" s="112" t="s">
        <v>1149</v>
      </c>
      <c r="W4" s="116" t="s">
        <v>1363</v>
      </c>
      <c r="X4" s="116" t="s">
        <v>1138</v>
      </c>
      <c r="Y4" s="112" t="s">
        <v>1370</v>
      </c>
      <c r="Z4" s="112" t="s">
        <v>1152</v>
      </c>
      <c r="AA4" s="112" t="s">
        <v>2406</v>
      </c>
      <c r="AB4" s="112" t="s">
        <v>48</v>
      </c>
      <c r="AC4" s="112" t="s">
        <v>48</v>
      </c>
      <c r="AD4" s="112" t="s">
        <v>48</v>
      </c>
      <c r="AE4" s="112" t="s">
        <v>48</v>
      </c>
    </row>
    <row r="5" spans="1:31">
      <c r="A5" s="6">
        <v>4</v>
      </c>
      <c r="B5" s="6" t="s">
        <v>1793</v>
      </c>
      <c r="C5" s="7"/>
      <c r="D5" s="8"/>
      <c r="E5" s="8"/>
      <c r="F5" s="9" t="s">
        <v>1794</v>
      </c>
      <c r="G5" s="9"/>
      <c r="H5" s="9" t="s">
        <v>76</v>
      </c>
      <c r="I5" s="9" t="s">
        <v>51</v>
      </c>
      <c r="J5" s="10" t="s">
        <v>1795</v>
      </c>
      <c r="K5" s="15" t="s">
        <v>982</v>
      </c>
      <c r="L5" s="9" t="s">
        <v>79</v>
      </c>
      <c r="M5" s="9" t="s">
        <v>1796</v>
      </c>
      <c r="N5" s="11">
        <v>2009</v>
      </c>
      <c r="O5" s="9" t="s">
        <v>1797</v>
      </c>
      <c r="P5" s="9" t="s">
        <v>1798</v>
      </c>
      <c r="Q5" s="12" t="s">
        <v>38</v>
      </c>
      <c r="R5" s="12" t="s">
        <v>1158</v>
      </c>
      <c r="S5" s="9" t="s">
        <v>1799</v>
      </c>
      <c r="T5" s="9" t="s">
        <v>1085</v>
      </c>
      <c r="U5" s="9" t="s">
        <v>1800</v>
      </c>
      <c r="V5" s="9" t="s">
        <v>1186</v>
      </c>
      <c r="W5" s="13" t="s">
        <v>1187</v>
      </c>
      <c r="X5" s="13" t="s">
        <v>1138</v>
      </c>
      <c r="Y5" s="9" t="s">
        <v>1188</v>
      </c>
      <c r="Z5" s="9" t="s">
        <v>1152</v>
      </c>
      <c r="AA5" s="9" t="s">
        <v>1801</v>
      </c>
      <c r="AB5" s="9" t="s">
        <v>48</v>
      </c>
      <c r="AC5" s="9" t="s">
        <v>48</v>
      </c>
      <c r="AD5" s="9" t="s">
        <v>48</v>
      </c>
      <c r="AE5" s="9" t="s">
        <v>48</v>
      </c>
    </row>
    <row r="6" spans="1:31">
      <c r="A6" s="6">
        <v>5</v>
      </c>
      <c r="B6" s="6" t="s">
        <v>1206</v>
      </c>
      <c r="C6" s="20"/>
      <c r="D6" s="16"/>
      <c r="E6" s="16"/>
      <c r="F6" s="9" t="s">
        <v>1207</v>
      </c>
      <c r="G6" s="9"/>
      <c r="H6" s="9" t="s">
        <v>76</v>
      </c>
      <c r="I6" s="9" t="s">
        <v>51</v>
      </c>
      <c r="J6" s="10" t="s">
        <v>1208</v>
      </c>
      <c r="K6" s="15" t="s">
        <v>982</v>
      </c>
      <c r="L6" s="9" t="s">
        <v>2407</v>
      </c>
      <c r="M6" s="9" t="s">
        <v>2408</v>
      </c>
      <c r="N6" s="11">
        <v>2013</v>
      </c>
      <c r="O6" s="9" t="s">
        <v>1211</v>
      </c>
      <c r="P6" s="10" t="s">
        <v>1212</v>
      </c>
      <c r="Q6" s="12" t="s">
        <v>38</v>
      </c>
      <c r="R6" s="12" t="s">
        <v>987</v>
      </c>
      <c r="S6" s="9" t="s">
        <v>1213</v>
      </c>
      <c r="T6" s="9" t="s">
        <v>989</v>
      </c>
      <c r="U6" s="9" t="s">
        <v>1214</v>
      </c>
      <c r="V6" s="9" t="s">
        <v>991</v>
      </c>
      <c r="W6" s="13" t="s">
        <v>1103</v>
      </c>
      <c r="X6" s="13" t="s">
        <v>44</v>
      </c>
      <c r="Y6" s="9" t="s">
        <v>45</v>
      </c>
      <c r="Z6" s="9" t="s">
        <v>46</v>
      </c>
      <c r="AA6" s="9" t="s">
        <v>1215</v>
      </c>
      <c r="AB6" s="9" t="s">
        <v>48</v>
      </c>
      <c r="AC6" s="9" t="s">
        <v>48</v>
      </c>
      <c r="AD6" s="9" t="s">
        <v>48</v>
      </c>
      <c r="AE6" s="9" t="s">
        <v>48</v>
      </c>
    </row>
    <row r="7" spans="1:31">
      <c r="A7" s="6">
        <v>6</v>
      </c>
      <c r="B7" s="6" t="s">
        <v>1802</v>
      </c>
      <c r="C7" s="6" t="s">
        <v>978</v>
      </c>
      <c r="D7" s="16">
        <v>40</v>
      </c>
      <c r="E7" s="16" t="s">
        <v>1072</v>
      </c>
      <c r="F7" s="9" t="s">
        <v>1228</v>
      </c>
      <c r="G7" s="9"/>
      <c r="H7" s="9" t="s">
        <v>76</v>
      </c>
      <c r="I7" s="9" t="s">
        <v>51</v>
      </c>
      <c r="J7" s="10" t="s">
        <v>2409</v>
      </c>
      <c r="K7" s="15" t="s">
        <v>982</v>
      </c>
      <c r="L7" s="9" t="s">
        <v>79</v>
      </c>
      <c r="M7" s="9" t="s">
        <v>1804</v>
      </c>
      <c r="N7" s="11">
        <v>2011</v>
      </c>
      <c r="O7" s="9" t="s">
        <v>1805</v>
      </c>
      <c r="P7" s="21" t="s">
        <v>1806</v>
      </c>
      <c r="Q7" s="12" t="s">
        <v>38</v>
      </c>
      <c r="R7" s="12" t="s">
        <v>1234</v>
      </c>
      <c r="S7" s="9" t="s">
        <v>1807</v>
      </c>
      <c r="T7" s="9" t="s">
        <v>1085</v>
      </c>
      <c r="U7" s="9" t="s">
        <v>1808</v>
      </c>
      <c r="V7" s="9" t="s">
        <v>1113</v>
      </c>
      <c r="W7" s="13" t="s">
        <v>1237</v>
      </c>
      <c r="X7" s="13" t="s">
        <v>1238</v>
      </c>
      <c r="Y7" s="9" t="s">
        <v>45</v>
      </c>
      <c r="Z7" s="9" t="s">
        <v>1116</v>
      </c>
      <c r="AA7" s="9" t="s">
        <v>1809</v>
      </c>
      <c r="AB7" s="9" t="s">
        <v>48</v>
      </c>
      <c r="AC7" s="9" t="s">
        <v>48</v>
      </c>
      <c r="AD7" s="9" t="s">
        <v>48</v>
      </c>
      <c r="AE7" s="9" t="s">
        <v>48</v>
      </c>
    </row>
    <row r="8" spans="1:31" ht="30">
      <c r="A8" s="109">
        <v>7</v>
      </c>
      <c r="B8" s="109" t="s">
        <v>2410</v>
      </c>
      <c r="C8" s="110"/>
      <c r="D8" s="111"/>
      <c r="E8" s="111"/>
      <c r="F8" s="112" t="s">
        <v>1038</v>
      </c>
      <c r="G8" s="112" t="s">
        <v>2398</v>
      </c>
      <c r="H8" s="112" t="s">
        <v>2399</v>
      </c>
      <c r="I8" s="112" t="s">
        <v>51</v>
      </c>
      <c r="J8" s="113" t="s">
        <v>79</v>
      </c>
      <c r="K8" s="114"/>
      <c r="L8" s="112" t="s">
        <v>79</v>
      </c>
      <c r="M8" s="112" t="s">
        <v>1813</v>
      </c>
      <c r="N8" s="115">
        <v>2004</v>
      </c>
      <c r="O8" s="112" t="s">
        <v>2411</v>
      </c>
      <c r="P8" s="112"/>
      <c r="Q8" s="115" t="s">
        <v>38</v>
      </c>
      <c r="R8" s="115" t="s">
        <v>2412</v>
      </c>
      <c r="S8" s="112" t="s">
        <v>2413</v>
      </c>
      <c r="T8" s="112" t="s">
        <v>1085</v>
      </c>
      <c r="U8" s="112" t="s">
        <v>2414</v>
      </c>
      <c r="V8" s="112" t="s">
        <v>1087</v>
      </c>
      <c r="W8" s="116" t="s">
        <v>1266</v>
      </c>
      <c r="X8" s="116" t="s">
        <v>2415</v>
      </c>
      <c r="Y8" s="112" t="s">
        <v>1347</v>
      </c>
      <c r="Z8" s="112" t="s">
        <v>1139</v>
      </c>
      <c r="AA8" s="112" t="s">
        <v>2416</v>
      </c>
      <c r="AB8" s="112" t="s">
        <v>48</v>
      </c>
      <c r="AC8" s="112" t="s">
        <v>48</v>
      </c>
      <c r="AD8" s="112" t="s">
        <v>48</v>
      </c>
      <c r="AE8" s="112" t="s">
        <v>48</v>
      </c>
    </row>
    <row r="9" spans="1:31" ht="30">
      <c r="A9" s="39">
        <v>8</v>
      </c>
      <c r="B9" s="40" t="s">
        <v>2417</v>
      </c>
      <c r="C9" s="101"/>
      <c r="D9" s="102"/>
      <c r="E9" s="102"/>
      <c r="F9" s="117" t="s">
        <v>2418</v>
      </c>
      <c r="G9" s="118"/>
      <c r="H9" s="118" t="s">
        <v>2393</v>
      </c>
      <c r="I9" s="118" t="s">
        <v>51</v>
      </c>
      <c r="J9" s="118" t="s">
        <v>35</v>
      </c>
      <c r="K9" s="105" t="s">
        <v>34</v>
      </c>
      <c r="L9" s="118" t="s">
        <v>35</v>
      </c>
      <c r="M9" s="118" t="s">
        <v>984</v>
      </c>
      <c r="N9" s="119">
        <v>2005</v>
      </c>
      <c r="O9" s="118"/>
      <c r="P9" s="118"/>
      <c r="Q9" s="120" t="s">
        <v>38</v>
      </c>
      <c r="R9" s="120" t="s">
        <v>2419</v>
      </c>
      <c r="S9" s="118" t="s">
        <v>2420</v>
      </c>
      <c r="T9" s="118" t="s">
        <v>1085</v>
      </c>
      <c r="U9" s="118" t="s">
        <v>2421</v>
      </c>
      <c r="V9" s="118" t="s">
        <v>1087</v>
      </c>
      <c r="W9" s="117" t="s">
        <v>2422</v>
      </c>
      <c r="X9" s="117" t="s">
        <v>1333</v>
      </c>
      <c r="Y9" s="118" t="s">
        <v>1370</v>
      </c>
      <c r="Z9" s="118" t="s">
        <v>1139</v>
      </c>
      <c r="AA9" s="118" t="s">
        <v>2423</v>
      </c>
      <c r="AB9" s="118" t="s">
        <v>48</v>
      </c>
      <c r="AC9" s="118" t="s">
        <v>48</v>
      </c>
      <c r="AD9" s="118" t="s">
        <v>48</v>
      </c>
      <c r="AE9" s="118" t="s">
        <v>48</v>
      </c>
    </row>
    <row r="10" spans="1:31">
      <c r="A10" s="109">
        <v>9</v>
      </c>
      <c r="B10" s="109" t="s">
        <v>2424</v>
      </c>
      <c r="C10" s="110"/>
      <c r="D10" s="111"/>
      <c r="E10" s="111"/>
      <c r="F10" s="112" t="s">
        <v>1499</v>
      </c>
      <c r="G10" s="112" t="s">
        <v>2398</v>
      </c>
      <c r="H10" s="112" t="s">
        <v>2399</v>
      </c>
      <c r="I10" s="112" t="s">
        <v>51</v>
      </c>
      <c r="J10" s="113" t="s">
        <v>2425</v>
      </c>
      <c r="K10" s="114"/>
      <c r="L10" s="112" t="s">
        <v>91</v>
      </c>
      <c r="M10" s="112" t="s">
        <v>1389</v>
      </c>
      <c r="N10" s="115">
        <v>2005</v>
      </c>
      <c r="O10" s="112"/>
      <c r="P10" s="112"/>
      <c r="Q10" s="115" t="s">
        <v>1453</v>
      </c>
      <c r="R10" s="115" t="s">
        <v>2426</v>
      </c>
      <c r="S10" s="112" t="s">
        <v>2427</v>
      </c>
      <c r="T10" s="112" t="s">
        <v>1085</v>
      </c>
      <c r="U10" s="112" t="s">
        <v>2428</v>
      </c>
      <c r="V10" s="112" t="s">
        <v>1087</v>
      </c>
      <c r="W10" s="116" t="s">
        <v>1015</v>
      </c>
      <c r="X10" s="116" t="s">
        <v>1089</v>
      </c>
      <c r="Y10" s="112" t="s">
        <v>1370</v>
      </c>
      <c r="Z10" s="112" t="s">
        <v>1139</v>
      </c>
      <c r="AA10" s="112" t="s">
        <v>2429</v>
      </c>
      <c r="AB10" s="112" t="s">
        <v>48</v>
      </c>
      <c r="AC10" s="112" t="s">
        <v>48</v>
      </c>
      <c r="AD10" s="112" t="s">
        <v>48</v>
      </c>
      <c r="AE10" s="112" t="s">
        <v>48</v>
      </c>
    </row>
    <row r="11" spans="1:31" ht="30">
      <c r="A11" s="39">
        <v>10</v>
      </c>
      <c r="B11" s="47" t="s">
        <v>2430</v>
      </c>
      <c r="C11" s="101"/>
      <c r="D11" s="102"/>
      <c r="E11" s="102"/>
      <c r="F11" s="108" t="s">
        <v>2431</v>
      </c>
      <c r="G11" s="103"/>
      <c r="H11" s="103" t="s">
        <v>2393</v>
      </c>
      <c r="I11" s="103" t="s">
        <v>51</v>
      </c>
      <c r="J11" s="104" t="s">
        <v>35</v>
      </c>
      <c r="K11" s="105" t="s">
        <v>34</v>
      </c>
      <c r="L11" s="103" t="s">
        <v>35</v>
      </c>
      <c r="M11" s="103" t="s">
        <v>984</v>
      </c>
      <c r="N11" s="106">
        <v>2003</v>
      </c>
      <c r="O11" s="103"/>
      <c r="P11" s="103"/>
      <c r="Q11" s="107" t="s">
        <v>1453</v>
      </c>
      <c r="R11" s="107" t="s">
        <v>2296</v>
      </c>
      <c r="S11" s="103" t="s">
        <v>2432</v>
      </c>
      <c r="T11" s="103" t="s">
        <v>1085</v>
      </c>
      <c r="U11" s="103" t="s">
        <v>2433</v>
      </c>
      <c r="V11" s="103" t="s">
        <v>1087</v>
      </c>
      <c r="W11" s="108" t="s">
        <v>2299</v>
      </c>
      <c r="X11" s="108" t="s">
        <v>2434</v>
      </c>
      <c r="Y11" s="103" t="s">
        <v>1370</v>
      </c>
      <c r="Z11" s="103" t="s">
        <v>2300</v>
      </c>
      <c r="AA11" s="103" t="s">
        <v>2435</v>
      </c>
      <c r="AB11" s="103" t="s">
        <v>48</v>
      </c>
      <c r="AC11" s="103" t="s">
        <v>48</v>
      </c>
      <c r="AD11" s="103" t="s">
        <v>48</v>
      </c>
      <c r="AE11" s="103" t="s">
        <v>48</v>
      </c>
    </row>
    <row r="12" spans="1:31">
      <c r="A12" s="6">
        <v>11</v>
      </c>
      <c r="B12" s="6" t="s">
        <v>1810</v>
      </c>
      <c r="C12" s="7"/>
      <c r="D12" s="8"/>
      <c r="E12" s="8"/>
      <c r="F12" s="9" t="s">
        <v>1811</v>
      </c>
      <c r="G12" s="9"/>
      <c r="H12" s="9" t="s">
        <v>76</v>
      </c>
      <c r="I12" s="9" t="s">
        <v>51</v>
      </c>
      <c r="J12" s="10" t="s">
        <v>1813</v>
      </c>
      <c r="K12" s="15" t="s">
        <v>34</v>
      </c>
      <c r="L12" s="9" t="s">
        <v>79</v>
      </c>
      <c r="M12" s="9" t="s">
        <v>1813</v>
      </c>
      <c r="N12" s="11">
        <v>2006</v>
      </c>
      <c r="O12" s="9" t="s">
        <v>1814</v>
      </c>
      <c r="P12" s="10" t="s">
        <v>1815</v>
      </c>
      <c r="Q12" s="12" t="s">
        <v>56</v>
      </c>
      <c r="R12" s="12" t="s">
        <v>1083</v>
      </c>
      <c r="S12" s="9" t="s">
        <v>1816</v>
      </c>
      <c r="T12" s="9" t="s">
        <v>1085</v>
      </c>
      <c r="U12" s="9" t="s">
        <v>1817</v>
      </c>
      <c r="V12" s="9" t="s">
        <v>1087</v>
      </c>
      <c r="W12" s="13" t="s">
        <v>1088</v>
      </c>
      <c r="X12" s="13" t="s">
        <v>1089</v>
      </c>
      <c r="Y12" s="9" t="s">
        <v>1370</v>
      </c>
      <c r="Z12" s="9" t="s">
        <v>1139</v>
      </c>
      <c r="AA12" s="9" t="s">
        <v>1818</v>
      </c>
      <c r="AB12" s="9" t="s">
        <v>48</v>
      </c>
      <c r="AC12" s="9" t="s">
        <v>48</v>
      </c>
      <c r="AD12" s="9" t="s">
        <v>48</v>
      </c>
      <c r="AE12" s="9" t="s">
        <v>48</v>
      </c>
    </row>
    <row r="13" spans="1:31">
      <c r="A13" s="6">
        <v>12</v>
      </c>
      <c r="B13" s="6" t="s">
        <v>2057</v>
      </c>
      <c r="C13" s="6" t="s">
        <v>1536</v>
      </c>
      <c r="D13" s="16">
        <v>41</v>
      </c>
      <c r="E13" s="16" t="s">
        <v>2058</v>
      </c>
      <c r="F13" s="9" t="s">
        <v>1975</v>
      </c>
      <c r="G13" s="9"/>
      <c r="H13" s="9" t="s">
        <v>76</v>
      </c>
      <c r="I13" s="9" t="s">
        <v>51</v>
      </c>
      <c r="J13" s="10" t="s">
        <v>2436</v>
      </c>
      <c r="K13" s="15" t="s">
        <v>982</v>
      </c>
      <c r="L13" s="9" t="s">
        <v>53</v>
      </c>
      <c r="M13" s="9" t="s">
        <v>984</v>
      </c>
      <c r="N13" s="11">
        <v>2014</v>
      </c>
      <c r="O13" s="9" t="s">
        <v>2059</v>
      </c>
      <c r="P13" s="9" t="s">
        <v>2060</v>
      </c>
      <c r="Q13" s="12" t="s">
        <v>38</v>
      </c>
      <c r="R13" s="12" t="s">
        <v>987</v>
      </c>
      <c r="S13" s="9" t="s">
        <v>2061</v>
      </c>
      <c r="T13" s="9" t="s">
        <v>1102</v>
      </c>
      <c r="U13" s="9" t="s">
        <v>1004</v>
      </c>
      <c r="V13" s="9" t="s">
        <v>2062</v>
      </c>
      <c r="W13" s="13" t="s">
        <v>1015</v>
      </c>
      <c r="X13" s="13" t="s">
        <v>44</v>
      </c>
      <c r="Y13" s="9" t="s">
        <v>45</v>
      </c>
      <c r="Z13" s="9" t="s">
        <v>46</v>
      </c>
      <c r="AA13" s="9" t="s">
        <v>2063</v>
      </c>
      <c r="AB13" s="9" t="s">
        <v>48</v>
      </c>
      <c r="AC13" s="9" t="s">
        <v>48</v>
      </c>
      <c r="AD13" s="9" t="s">
        <v>48</v>
      </c>
      <c r="AE13" s="9" t="s">
        <v>48</v>
      </c>
    </row>
    <row r="14" spans="1:31">
      <c r="A14" s="6">
        <v>13</v>
      </c>
      <c r="B14" s="20" t="s">
        <v>1076</v>
      </c>
      <c r="C14" s="6"/>
      <c r="D14" s="16"/>
      <c r="E14" s="8" t="s">
        <v>1077</v>
      </c>
      <c r="F14" s="9" t="s">
        <v>1078</v>
      </c>
      <c r="G14" s="9"/>
      <c r="H14" s="9" t="s">
        <v>76</v>
      </c>
      <c r="I14" s="9" t="s">
        <v>51</v>
      </c>
      <c r="J14" s="10" t="s">
        <v>2437</v>
      </c>
      <c r="K14" s="15" t="s">
        <v>982</v>
      </c>
      <c r="L14" s="9" t="s">
        <v>1080</v>
      </c>
      <c r="M14" s="9" t="s">
        <v>1231</v>
      </c>
      <c r="N14" s="11">
        <v>2006</v>
      </c>
      <c r="O14" s="9" t="s">
        <v>1081</v>
      </c>
      <c r="P14" s="9" t="s">
        <v>1082</v>
      </c>
      <c r="Q14" s="12" t="s">
        <v>56</v>
      </c>
      <c r="R14" s="12" t="s">
        <v>1083</v>
      </c>
      <c r="S14" s="9" t="s">
        <v>1084</v>
      </c>
      <c r="T14" s="9" t="s">
        <v>1085</v>
      </c>
      <c r="U14" s="9" t="s">
        <v>1086</v>
      </c>
      <c r="V14" s="9" t="s">
        <v>1087</v>
      </c>
      <c r="W14" s="13" t="s">
        <v>1088</v>
      </c>
      <c r="X14" s="13" t="s">
        <v>1089</v>
      </c>
      <c r="Y14" s="9" t="s">
        <v>1090</v>
      </c>
      <c r="Z14" s="9" t="s">
        <v>1091</v>
      </c>
      <c r="AA14" s="9" t="s">
        <v>1092</v>
      </c>
      <c r="AB14" s="9" t="s">
        <v>1093</v>
      </c>
      <c r="AC14" s="9" t="s">
        <v>1094</v>
      </c>
      <c r="AD14" s="9" t="s">
        <v>48</v>
      </c>
      <c r="AE14" s="9" t="s">
        <v>48</v>
      </c>
    </row>
    <row r="15" spans="1:31">
      <c r="A15" s="39">
        <v>14</v>
      </c>
      <c r="B15" s="39" t="s">
        <v>2438</v>
      </c>
      <c r="C15" s="101"/>
      <c r="D15" s="102"/>
      <c r="E15" s="102"/>
      <c r="F15" s="103" t="s">
        <v>2439</v>
      </c>
      <c r="G15" s="103"/>
      <c r="H15" s="103" t="s">
        <v>2393</v>
      </c>
      <c r="I15" s="103" t="s">
        <v>51</v>
      </c>
      <c r="J15" s="104" t="s">
        <v>35</v>
      </c>
      <c r="K15" s="105" t="s">
        <v>34</v>
      </c>
      <c r="L15" s="103" t="s">
        <v>35</v>
      </c>
      <c r="M15" s="103" t="s">
        <v>984</v>
      </c>
      <c r="N15" s="106">
        <v>2007</v>
      </c>
      <c r="O15" s="103"/>
      <c r="P15" s="103"/>
      <c r="Q15" s="107" t="s">
        <v>38</v>
      </c>
      <c r="R15" s="107" t="s">
        <v>1360</v>
      </c>
      <c r="S15" s="103" t="s">
        <v>2440</v>
      </c>
      <c r="T15" s="103" t="s">
        <v>1085</v>
      </c>
      <c r="U15" s="103" t="s">
        <v>2441</v>
      </c>
      <c r="V15" s="103" t="s">
        <v>1149</v>
      </c>
      <c r="W15" s="108" t="s">
        <v>1363</v>
      </c>
      <c r="X15" s="108" t="s">
        <v>1089</v>
      </c>
      <c r="Y15" s="103" t="s">
        <v>1370</v>
      </c>
      <c r="Z15" s="103" t="s">
        <v>1139</v>
      </c>
      <c r="AA15" s="103" t="s">
        <v>2442</v>
      </c>
      <c r="AB15" s="103" t="s">
        <v>48</v>
      </c>
      <c r="AC15" s="103" t="s">
        <v>48</v>
      </c>
      <c r="AD15" s="103" t="s">
        <v>48</v>
      </c>
      <c r="AE15" s="103" t="s">
        <v>48</v>
      </c>
    </row>
    <row r="16" spans="1:31">
      <c r="A16" s="6">
        <v>15</v>
      </c>
      <c r="B16" s="6" t="s">
        <v>1995</v>
      </c>
      <c r="C16" s="7"/>
      <c r="D16" s="8"/>
      <c r="E16" s="8"/>
      <c r="F16" s="9" t="s">
        <v>1996</v>
      </c>
      <c r="G16" s="9"/>
      <c r="H16" s="9" t="s">
        <v>76</v>
      </c>
      <c r="I16" s="9" t="s">
        <v>51</v>
      </c>
      <c r="J16" s="10" t="s">
        <v>79</v>
      </c>
      <c r="K16" s="15" t="s">
        <v>982</v>
      </c>
      <c r="L16" s="9" t="s">
        <v>1997</v>
      </c>
      <c r="M16" s="9" t="s">
        <v>1804</v>
      </c>
      <c r="N16" s="11">
        <v>2007</v>
      </c>
      <c r="O16" s="9" t="s">
        <v>1998</v>
      </c>
      <c r="P16" s="9" t="s">
        <v>1999</v>
      </c>
      <c r="Q16" s="12" t="s">
        <v>38</v>
      </c>
      <c r="R16" s="12" t="s">
        <v>1360</v>
      </c>
      <c r="S16" s="9" t="s">
        <v>2000</v>
      </c>
      <c r="T16" s="9" t="s">
        <v>1085</v>
      </c>
      <c r="U16" s="9" t="s">
        <v>2001</v>
      </c>
      <c r="V16" s="9" t="s">
        <v>2002</v>
      </c>
      <c r="W16" s="13" t="s">
        <v>1363</v>
      </c>
      <c r="X16" s="13" t="s">
        <v>1138</v>
      </c>
      <c r="Y16" s="9" t="s">
        <v>1370</v>
      </c>
      <c r="Z16" s="9" t="s">
        <v>1139</v>
      </c>
      <c r="AA16" s="9" t="s">
        <v>2003</v>
      </c>
      <c r="AB16" s="9" t="s">
        <v>48</v>
      </c>
      <c r="AC16" s="9" t="s">
        <v>48</v>
      </c>
      <c r="AD16" s="9" t="s">
        <v>48</v>
      </c>
      <c r="AE16" s="9" t="s">
        <v>48</v>
      </c>
    </row>
    <row r="17" spans="1:31">
      <c r="A17" s="113">
        <v>16</v>
      </c>
      <c r="B17" s="113" t="s">
        <v>2443</v>
      </c>
      <c r="C17" s="113"/>
      <c r="D17" s="113"/>
      <c r="E17" s="113"/>
      <c r="F17" s="113" t="s">
        <v>1961</v>
      </c>
      <c r="G17" s="113" t="s">
        <v>2398</v>
      </c>
      <c r="H17" s="113" t="s">
        <v>2399</v>
      </c>
      <c r="I17" s="113" t="s">
        <v>51</v>
      </c>
      <c r="J17" s="113" t="s">
        <v>2444</v>
      </c>
      <c r="K17" s="113"/>
      <c r="L17" s="113" t="s">
        <v>79</v>
      </c>
      <c r="M17" s="113" t="s">
        <v>1813</v>
      </c>
      <c r="N17" s="113">
        <v>2004</v>
      </c>
      <c r="O17" s="113" t="s">
        <v>2445</v>
      </c>
      <c r="P17" s="113"/>
      <c r="Q17" s="113" t="s">
        <v>1453</v>
      </c>
      <c r="R17" s="113" t="s">
        <v>2296</v>
      </c>
      <c r="S17" s="113" t="s">
        <v>1832</v>
      </c>
      <c r="T17" s="113" t="s">
        <v>1085</v>
      </c>
      <c r="U17" s="113" t="s">
        <v>2446</v>
      </c>
      <c r="V17" s="113" t="s">
        <v>1087</v>
      </c>
      <c r="W17" s="113" t="s">
        <v>1266</v>
      </c>
      <c r="X17" s="113" t="s">
        <v>1089</v>
      </c>
      <c r="Y17" s="113" t="s">
        <v>1347</v>
      </c>
      <c r="Z17" s="113" t="s">
        <v>1591</v>
      </c>
      <c r="AA17" s="113" t="s">
        <v>2447</v>
      </c>
      <c r="AB17" s="113" t="s">
        <v>48</v>
      </c>
      <c r="AC17" s="113" t="s">
        <v>48</v>
      </c>
      <c r="AD17" s="113" t="s">
        <v>48</v>
      </c>
      <c r="AE17" s="113" t="s">
        <v>48</v>
      </c>
    </row>
    <row r="18" spans="1:31">
      <c r="A18" s="6">
        <v>17</v>
      </c>
      <c r="B18" s="6" t="s">
        <v>2448</v>
      </c>
      <c r="C18" s="7"/>
      <c r="D18" s="8"/>
      <c r="E18" s="8"/>
      <c r="F18" s="9" t="s">
        <v>2024</v>
      </c>
      <c r="G18" s="9"/>
      <c r="H18" s="9" t="s">
        <v>2399</v>
      </c>
      <c r="I18" s="9" t="s">
        <v>51</v>
      </c>
      <c r="J18" s="10" t="s">
        <v>2449</v>
      </c>
      <c r="K18" s="15" t="s">
        <v>34</v>
      </c>
      <c r="L18" s="9" t="s">
        <v>35</v>
      </c>
      <c r="M18" s="9" t="s">
        <v>984</v>
      </c>
      <c r="N18" s="11">
        <v>2003</v>
      </c>
      <c r="O18" s="9" t="s">
        <v>2450</v>
      </c>
      <c r="P18" s="9"/>
      <c r="Q18" s="12" t="s">
        <v>1453</v>
      </c>
      <c r="R18" s="12" t="s">
        <v>2296</v>
      </c>
      <c r="S18" s="9" t="s">
        <v>2451</v>
      </c>
      <c r="T18" s="9" t="s">
        <v>1085</v>
      </c>
      <c r="U18" s="9" t="s">
        <v>2452</v>
      </c>
      <c r="V18" s="9" t="s">
        <v>1087</v>
      </c>
      <c r="W18" s="13" t="s">
        <v>2299</v>
      </c>
      <c r="X18" s="13" t="s">
        <v>1089</v>
      </c>
      <c r="Y18" s="9" t="s">
        <v>1347</v>
      </c>
      <c r="Z18" s="9" t="s">
        <v>2300</v>
      </c>
      <c r="AA18" s="9" t="s">
        <v>2453</v>
      </c>
      <c r="AB18" s="9" t="s">
        <v>48</v>
      </c>
      <c r="AC18" s="9" t="s">
        <v>48</v>
      </c>
      <c r="AD18" s="9" t="s">
        <v>48</v>
      </c>
      <c r="AE18" s="9" t="s">
        <v>48</v>
      </c>
    </row>
    <row r="19" spans="1:31">
      <c r="A19" s="39">
        <v>18</v>
      </c>
      <c r="B19" s="39" t="s">
        <v>2454</v>
      </c>
      <c r="C19" s="101"/>
      <c r="D19" s="102"/>
      <c r="E19" s="102"/>
      <c r="F19" s="103" t="s">
        <v>2455</v>
      </c>
      <c r="G19" s="103"/>
      <c r="H19" s="103" t="s">
        <v>2393</v>
      </c>
      <c r="I19" s="103" t="s">
        <v>51</v>
      </c>
      <c r="J19" s="104" t="s">
        <v>35</v>
      </c>
      <c r="K19" s="105" t="s">
        <v>34</v>
      </c>
      <c r="L19" s="103" t="s">
        <v>35</v>
      </c>
      <c r="M19" s="103" t="s">
        <v>984</v>
      </c>
      <c r="N19" s="106">
        <v>2003</v>
      </c>
      <c r="O19" s="103"/>
      <c r="P19" s="103"/>
      <c r="Q19" s="107" t="s">
        <v>1453</v>
      </c>
      <c r="R19" s="107" t="s">
        <v>2296</v>
      </c>
      <c r="S19" s="103" t="s">
        <v>2456</v>
      </c>
      <c r="T19" s="103" t="s">
        <v>1085</v>
      </c>
      <c r="U19" s="103" t="s">
        <v>2457</v>
      </c>
      <c r="V19" s="103" t="s">
        <v>1087</v>
      </c>
      <c r="W19" s="108" t="s">
        <v>2299</v>
      </c>
      <c r="X19" s="108" t="s">
        <v>1089</v>
      </c>
      <c r="Y19" s="103" t="s">
        <v>1347</v>
      </c>
      <c r="Z19" s="103" t="s">
        <v>2300</v>
      </c>
      <c r="AA19" s="103" t="s">
        <v>2458</v>
      </c>
      <c r="AB19" s="103" t="s">
        <v>48</v>
      </c>
      <c r="AC19" s="103" t="s">
        <v>48</v>
      </c>
      <c r="AD19" s="103" t="s">
        <v>48</v>
      </c>
      <c r="AE19" s="103" t="s">
        <v>48</v>
      </c>
    </row>
    <row r="20" spans="1:31">
      <c r="A20" s="113">
        <v>19</v>
      </c>
      <c r="B20" s="113" t="s">
        <v>2459</v>
      </c>
      <c r="C20" s="113"/>
      <c r="D20" s="113"/>
      <c r="E20" s="113"/>
      <c r="F20" s="113" t="s">
        <v>1549</v>
      </c>
      <c r="G20" s="113" t="s">
        <v>2398</v>
      </c>
      <c r="H20" s="113" t="s">
        <v>2399</v>
      </c>
      <c r="I20" s="113" t="s">
        <v>51</v>
      </c>
      <c r="J20" s="113" t="s">
        <v>2460</v>
      </c>
      <c r="K20" s="113" t="s">
        <v>34</v>
      </c>
      <c r="L20" s="113" t="s">
        <v>1524</v>
      </c>
      <c r="M20" s="113" t="s">
        <v>984</v>
      </c>
      <c r="N20" s="113">
        <v>2008</v>
      </c>
      <c r="O20" s="113" t="s">
        <v>2461</v>
      </c>
      <c r="P20" s="113"/>
      <c r="Q20" s="113" t="s">
        <v>38</v>
      </c>
      <c r="R20" s="113" t="s">
        <v>2462</v>
      </c>
      <c r="S20" s="113" t="s">
        <v>2463</v>
      </c>
      <c r="T20" s="113" t="s">
        <v>1085</v>
      </c>
      <c r="U20" s="113" t="s">
        <v>2464</v>
      </c>
      <c r="V20" s="113" t="s">
        <v>2238</v>
      </c>
      <c r="W20" s="113" t="s">
        <v>1363</v>
      </c>
      <c r="X20" s="113" t="s">
        <v>1138</v>
      </c>
      <c r="Y20" s="113" t="s">
        <v>1151</v>
      </c>
      <c r="Z20" s="113" t="s">
        <v>1152</v>
      </c>
      <c r="AA20" s="113" t="s">
        <v>2465</v>
      </c>
      <c r="AB20" s="113" t="s">
        <v>48</v>
      </c>
      <c r="AC20" s="113" t="s">
        <v>48</v>
      </c>
      <c r="AD20" s="113" t="s">
        <v>48</v>
      </c>
      <c r="AE20" s="113" t="s">
        <v>48</v>
      </c>
    </row>
    <row r="21" spans="1:31">
      <c r="A21" s="6">
        <v>20</v>
      </c>
      <c r="B21" s="6" t="s">
        <v>2064</v>
      </c>
      <c r="C21" s="6" t="s">
        <v>1536</v>
      </c>
      <c r="D21" s="16">
        <v>23</v>
      </c>
      <c r="E21" s="16" t="s">
        <v>2065</v>
      </c>
      <c r="F21" s="9" t="s">
        <v>2066</v>
      </c>
      <c r="G21" s="9"/>
      <c r="H21" s="9" t="s">
        <v>1181</v>
      </c>
      <c r="I21" s="9" t="s">
        <v>51</v>
      </c>
      <c r="J21" s="10" t="s">
        <v>35</v>
      </c>
      <c r="K21" s="15" t="s">
        <v>982</v>
      </c>
      <c r="L21" s="9" t="s">
        <v>35</v>
      </c>
      <c r="M21" s="9" t="s">
        <v>984</v>
      </c>
      <c r="N21" s="11">
        <v>2005</v>
      </c>
      <c r="O21" s="9"/>
      <c r="P21" s="9"/>
      <c r="Q21" s="12" t="s">
        <v>1453</v>
      </c>
      <c r="R21" s="12" t="s">
        <v>2068</v>
      </c>
      <c r="S21" s="9" t="s">
        <v>2069</v>
      </c>
      <c r="T21" s="9" t="s">
        <v>1085</v>
      </c>
      <c r="U21" s="9" t="s">
        <v>2070</v>
      </c>
      <c r="V21" s="9" t="s">
        <v>1087</v>
      </c>
      <c r="W21" s="13" t="s">
        <v>1015</v>
      </c>
      <c r="X21" s="13" t="s">
        <v>1089</v>
      </c>
      <c r="Y21" s="9" t="s">
        <v>1334</v>
      </c>
      <c r="Z21" s="9" t="s">
        <v>2071</v>
      </c>
      <c r="AA21" s="9" t="s">
        <v>2072</v>
      </c>
      <c r="AB21" s="9" t="s">
        <v>48</v>
      </c>
      <c r="AC21" s="9" t="s">
        <v>48</v>
      </c>
      <c r="AD21" s="9" t="s">
        <v>48</v>
      </c>
      <c r="AE21" s="9" t="s">
        <v>48</v>
      </c>
    </row>
    <row r="22" spans="1:31">
      <c r="A22" s="6">
        <v>21</v>
      </c>
      <c r="B22" s="6" t="s">
        <v>2367</v>
      </c>
      <c r="C22" s="7"/>
      <c r="D22" s="8"/>
      <c r="E22" s="8"/>
      <c r="F22" s="9" t="s">
        <v>2345</v>
      </c>
      <c r="G22" s="9"/>
      <c r="H22" s="9" t="s">
        <v>1181</v>
      </c>
      <c r="I22" s="9" t="s">
        <v>51</v>
      </c>
      <c r="J22" s="10" t="s">
        <v>2368</v>
      </c>
      <c r="K22" s="15" t="s">
        <v>34</v>
      </c>
      <c r="L22" s="9" t="s">
        <v>1080</v>
      </c>
      <c r="M22" s="9" t="s">
        <v>2466</v>
      </c>
      <c r="N22" s="11">
        <v>2000</v>
      </c>
      <c r="O22" s="9" t="s">
        <v>2369</v>
      </c>
      <c r="P22" s="9"/>
      <c r="Q22" s="12" t="s">
        <v>1453</v>
      </c>
      <c r="R22" s="12" t="s">
        <v>2370</v>
      </c>
      <c r="S22" s="9" t="s">
        <v>2371</v>
      </c>
      <c r="T22" s="9" t="s">
        <v>1825</v>
      </c>
      <c r="U22" s="9" t="s">
        <v>2372</v>
      </c>
      <c r="V22" s="9" t="s">
        <v>1827</v>
      </c>
      <c r="W22" s="13" t="s">
        <v>1832</v>
      </c>
      <c r="X22" s="13" t="s">
        <v>1333</v>
      </c>
      <c r="Y22" s="9" t="s">
        <v>2373</v>
      </c>
      <c r="Z22" s="9" t="s">
        <v>2374</v>
      </c>
      <c r="AA22" s="9" t="s">
        <v>2375</v>
      </c>
      <c r="AB22" s="9" t="s">
        <v>48</v>
      </c>
      <c r="AC22" s="9" t="s">
        <v>48</v>
      </c>
      <c r="AD22" s="9" t="s">
        <v>48</v>
      </c>
      <c r="AE22" s="9" t="s">
        <v>48</v>
      </c>
    </row>
    <row r="23" spans="1:31">
      <c r="A23" s="6">
        <v>22</v>
      </c>
      <c r="B23" s="6" t="s">
        <v>1300</v>
      </c>
      <c r="C23" s="7"/>
      <c r="D23" s="8"/>
      <c r="E23" s="8"/>
      <c r="F23" s="9" t="s">
        <v>1301</v>
      </c>
      <c r="G23" s="9"/>
      <c r="H23" s="9" t="s">
        <v>76</v>
      </c>
      <c r="I23" s="9" t="s">
        <v>32</v>
      </c>
      <c r="J23" s="10" t="s">
        <v>2467</v>
      </c>
      <c r="K23" s="15" t="s">
        <v>1243</v>
      </c>
      <c r="L23" s="9" t="s">
        <v>1080</v>
      </c>
      <c r="M23" s="9" t="s">
        <v>984</v>
      </c>
      <c r="N23" s="11">
        <v>2011</v>
      </c>
      <c r="O23" s="9" t="s">
        <v>1302</v>
      </c>
      <c r="P23" s="9" t="s">
        <v>1303</v>
      </c>
      <c r="Q23" s="12" t="s">
        <v>38</v>
      </c>
      <c r="R23" s="12" t="s">
        <v>1304</v>
      </c>
      <c r="S23" s="9" t="s">
        <v>1305</v>
      </c>
      <c r="T23" s="9" t="s">
        <v>1111</v>
      </c>
      <c r="U23" s="9" t="s">
        <v>1306</v>
      </c>
      <c r="V23" s="9" t="s">
        <v>1307</v>
      </c>
      <c r="W23" s="13" t="s">
        <v>1308</v>
      </c>
      <c r="X23" s="13" t="s">
        <v>44</v>
      </c>
      <c r="Y23" s="9" t="s">
        <v>45</v>
      </c>
      <c r="Z23" s="9" t="s">
        <v>1116</v>
      </c>
      <c r="AA23" s="9" t="s">
        <v>1309</v>
      </c>
      <c r="AB23" s="9" t="s">
        <v>1165</v>
      </c>
      <c r="AC23" s="9" t="s">
        <v>1310</v>
      </c>
      <c r="AD23" s="9" t="s">
        <v>48</v>
      </c>
      <c r="AE23" s="9" t="s">
        <v>48</v>
      </c>
    </row>
    <row r="24" spans="1:31">
      <c r="A24" s="6">
        <v>23</v>
      </c>
      <c r="B24" s="6" t="s">
        <v>1095</v>
      </c>
      <c r="C24" s="6" t="s">
        <v>978</v>
      </c>
      <c r="D24" s="16">
        <v>26</v>
      </c>
      <c r="E24" s="16" t="s">
        <v>1096</v>
      </c>
      <c r="F24" s="9" t="s">
        <v>1097</v>
      </c>
      <c r="G24" s="9"/>
      <c r="H24" s="9" t="s">
        <v>76</v>
      </c>
      <c r="I24" s="9" t="s">
        <v>51</v>
      </c>
      <c r="J24" s="10" t="s">
        <v>1098</v>
      </c>
      <c r="K24" s="15" t="s">
        <v>982</v>
      </c>
      <c r="L24" s="9" t="s">
        <v>1080</v>
      </c>
      <c r="M24" s="9" t="s">
        <v>1231</v>
      </c>
      <c r="N24" s="11">
        <v>2013</v>
      </c>
      <c r="O24" s="9" t="s">
        <v>1099</v>
      </c>
      <c r="P24" s="10" t="s">
        <v>1100</v>
      </c>
      <c r="Q24" s="12" t="s">
        <v>38</v>
      </c>
      <c r="R24" s="12" t="s">
        <v>987</v>
      </c>
      <c r="S24" s="9" t="s">
        <v>1101</v>
      </c>
      <c r="T24" s="9" t="s">
        <v>1102</v>
      </c>
      <c r="U24" s="9" t="s">
        <v>990</v>
      </c>
      <c r="V24" s="9" t="s">
        <v>991</v>
      </c>
      <c r="W24" s="13" t="s">
        <v>1103</v>
      </c>
      <c r="X24" s="13" t="s">
        <v>44</v>
      </c>
      <c r="Y24" s="9" t="s">
        <v>45</v>
      </c>
      <c r="Z24" s="9" t="s">
        <v>46</v>
      </c>
      <c r="AA24" s="9" t="s">
        <v>1104</v>
      </c>
      <c r="AB24" s="9" t="s">
        <v>48</v>
      </c>
      <c r="AC24" s="9" t="s">
        <v>48</v>
      </c>
      <c r="AD24" s="9" t="s">
        <v>48</v>
      </c>
      <c r="AE24" s="9" t="s">
        <v>48</v>
      </c>
    </row>
    <row r="25" spans="1:31">
      <c r="A25" s="39">
        <v>24</v>
      </c>
      <c r="B25" s="39" t="s">
        <v>2468</v>
      </c>
      <c r="C25" s="101"/>
      <c r="D25" s="102"/>
      <c r="E25" s="102"/>
      <c r="F25" s="103" t="s">
        <v>2469</v>
      </c>
      <c r="G25" s="103"/>
      <c r="H25" s="103" t="s">
        <v>2393</v>
      </c>
      <c r="I25" s="103" t="s">
        <v>51</v>
      </c>
      <c r="J25" s="104" t="s">
        <v>35</v>
      </c>
      <c r="K25" s="105" t="s">
        <v>34</v>
      </c>
      <c r="L25" s="103" t="s">
        <v>35</v>
      </c>
      <c r="M25" s="103" t="s">
        <v>984</v>
      </c>
      <c r="N25" s="106">
        <v>2003</v>
      </c>
      <c r="O25" s="103"/>
      <c r="P25" s="103"/>
      <c r="Q25" s="107" t="s">
        <v>1453</v>
      </c>
      <c r="R25" s="107" t="s">
        <v>2296</v>
      </c>
      <c r="S25" s="103" t="s">
        <v>2451</v>
      </c>
      <c r="T25" s="103" t="s">
        <v>1085</v>
      </c>
      <c r="U25" s="103" t="s">
        <v>2470</v>
      </c>
      <c r="V25" s="103" t="s">
        <v>1186</v>
      </c>
      <c r="W25" s="108" t="s">
        <v>2299</v>
      </c>
      <c r="X25" s="108" t="s">
        <v>1089</v>
      </c>
      <c r="Y25" s="103" t="s">
        <v>1089</v>
      </c>
      <c r="Z25" s="103" t="s">
        <v>2300</v>
      </c>
      <c r="AA25" s="103" t="s">
        <v>2471</v>
      </c>
      <c r="AB25" s="103" t="s">
        <v>48</v>
      </c>
      <c r="AC25" s="103" t="s">
        <v>48</v>
      </c>
      <c r="AD25" s="103" t="s">
        <v>48</v>
      </c>
      <c r="AE25" s="103" t="s">
        <v>48</v>
      </c>
    </row>
    <row r="26" spans="1:31">
      <c r="A26" s="39">
        <v>25</v>
      </c>
      <c r="B26" s="39" t="s">
        <v>2472</v>
      </c>
      <c r="C26" s="101"/>
      <c r="D26" s="102"/>
      <c r="E26" s="102"/>
      <c r="F26" s="103" t="s">
        <v>2473</v>
      </c>
      <c r="G26" s="103"/>
      <c r="H26" s="103" t="s">
        <v>2393</v>
      </c>
      <c r="I26" s="103" t="s">
        <v>51</v>
      </c>
      <c r="J26" s="104" t="s">
        <v>35</v>
      </c>
      <c r="K26" s="105" t="s">
        <v>982</v>
      </c>
      <c r="L26" s="103" t="s">
        <v>35</v>
      </c>
      <c r="M26" s="103" t="s">
        <v>984</v>
      </c>
      <c r="N26" s="106">
        <v>2007</v>
      </c>
      <c r="O26" s="103"/>
      <c r="P26" s="104"/>
      <c r="Q26" s="107" t="s">
        <v>38</v>
      </c>
      <c r="R26" s="107" t="s">
        <v>1360</v>
      </c>
      <c r="S26" s="103" t="s">
        <v>2474</v>
      </c>
      <c r="T26" s="103" t="s">
        <v>1085</v>
      </c>
      <c r="U26" s="103" t="s">
        <v>2475</v>
      </c>
      <c r="V26" s="103" t="s">
        <v>1087</v>
      </c>
      <c r="W26" s="108" t="s">
        <v>1237</v>
      </c>
      <c r="X26" s="108" t="s">
        <v>1089</v>
      </c>
      <c r="Y26" s="103" t="s">
        <v>1089</v>
      </c>
      <c r="Z26" s="103" t="s">
        <v>1139</v>
      </c>
      <c r="AA26" s="103" t="s">
        <v>2476</v>
      </c>
      <c r="AB26" s="103" t="s">
        <v>48</v>
      </c>
      <c r="AC26" s="103" t="s">
        <v>48</v>
      </c>
      <c r="AD26" s="103" t="s">
        <v>48</v>
      </c>
      <c r="AE26" s="103" t="s">
        <v>48</v>
      </c>
    </row>
    <row r="27" spans="1:31">
      <c r="A27" s="6">
        <v>26</v>
      </c>
      <c r="B27" s="6" t="s">
        <v>1311</v>
      </c>
      <c r="C27" s="6" t="s">
        <v>1226</v>
      </c>
      <c r="D27" s="16">
        <v>28</v>
      </c>
      <c r="E27" s="8" t="s">
        <v>1312</v>
      </c>
      <c r="F27" s="9" t="s">
        <v>1313</v>
      </c>
      <c r="G27" s="9"/>
      <c r="H27" s="9" t="s">
        <v>1181</v>
      </c>
      <c r="I27" s="9" t="s">
        <v>51</v>
      </c>
      <c r="J27" s="10" t="s">
        <v>35</v>
      </c>
      <c r="K27" s="15" t="s">
        <v>982</v>
      </c>
      <c r="L27" s="9" t="s">
        <v>35</v>
      </c>
      <c r="M27" s="9" t="s">
        <v>1314</v>
      </c>
      <c r="N27" s="11">
        <v>2006</v>
      </c>
      <c r="O27" s="9" t="s">
        <v>1315</v>
      </c>
      <c r="P27" s="26" t="s">
        <v>1316</v>
      </c>
      <c r="Q27" s="12" t="s">
        <v>56</v>
      </c>
      <c r="R27" s="12" t="s">
        <v>1083</v>
      </c>
      <c r="S27" s="9" t="s">
        <v>1317</v>
      </c>
      <c r="T27" s="9" t="s">
        <v>1085</v>
      </c>
      <c r="U27" s="9" t="s">
        <v>1318</v>
      </c>
      <c r="V27" s="9" t="s">
        <v>1087</v>
      </c>
      <c r="W27" s="13" t="s">
        <v>1114</v>
      </c>
      <c r="X27" s="13" t="s">
        <v>1089</v>
      </c>
      <c r="Y27" s="9" t="s">
        <v>1319</v>
      </c>
      <c r="Z27" s="9" t="s">
        <v>1320</v>
      </c>
      <c r="AA27" s="9" t="s">
        <v>1321</v>
      </c>
      <c r="AB27" s="9" t="s">
        <v>1093</v>
      </c>
      <c r="AC27" s="9" t="s">
        <v>1322</v>
      </c>
      <c r="AD27" s="9" t="s">
        <v>48</v>
      </c>
      <c r="AE27" s="9" t="s">
        <v>48</v>
      </c>
    </row>
    <row r="28" spans="1:31">
      <c r="A28" s="6">
        <v>27</v>
      </c>
      <c r="B28" s="6" t="s">
        <v>1126</v>
      </c>
      <c r="C28" s="27" t="s">
        <v>1127</v>
      </c>
      <c r="D28" s="28" t="s">
        <v>1128</v>
      </c>
      <c r="E28" s="8" t="s">
        <v>1129</v>
      </c>
      <c r="F28" s="9" t="s">
        <v>1130</v>
      </c>
      <c r="G28" s="9"/>
      <c r="H28" s="9" t="s">
        <v>76</v>
      </c>
      <c r="I28" s="9" t="s">
        <v>51</v>
      </c>
      <c r="J28" s="10" t="s">
        <v>1131</v>
      </c>
      <c r="K28" s="15" t="s">
        <v>34</v>
      </c>
      <c r="L28" s="9" t="s">
        <v>1132</v>
      </c>
      <c r="M28" s="9" t="s">
        <v>1133</v>
      </c>
      <c r="N28" s="11">
        <v>2006</v>
      </c>
      <c r="O28" s="9" t="s">
        <v>1134</v>
      </c>
      <c r="P28" s="29" t="s">
        <v>1135</v>
      </c>
      <c r="Q28" s="12" t="s">
        <v>56</v>
      </c>
      <c r="R28" s="12" t="s">
        <v>1083</v>
      </c>
      <c r="S28" s="9" t="s">
        <v>1136</v>
      </c>
      <c r="T28" s="9" t="s">
        <v>1085</v>
      </c>
      <c r="U28" s="9" t="s">
        <v>1137</v>
      </c>
      <c r="V28" s="9" t="s">
        <v>1087</v>
      </c>
      <c r="W28" s="13" t="s">
        <v>1114</v>
      </c>
      <c r="X28" s="13" t="s">
        <v>1138</v>
      </c>
      <c r="Y28" s="9" t="s">
        <v>1089</v>
      </c>
      <c r="Z28" s="9" t="s">
        <v>1139</v>
      </c>
      <c r="AA28" s="9" t="s">
        <v>1140</v>
      </c>
      <c r="AB28" s="9" t="s">
        <v>48</v>
      </c>
      <c r="AC28" s="9" t="s">
        <v>48</v>
      </c>
      <c r="AD28" s="9" t="s">
        <v>48</v>
      </c>
      <c r="AE28" s="9" t="s">
        <v>48</v>
      </c>
    </row>
    <row r="29" spans="1:31">
      <c r="A29" s="113">
        <v>28</v>
      </c>
      <c r="B29" s="113" t="s">
        <v>2477</v>
      </c>
      <c r="C29" s="113"/>
      <c r="D29" s="113"/>
      <c r="E29" s="113"/>
      <c r="F29" s="113" t="s">
        <v>1777</v>
      </c>
      <c r="G29" s="113" t="s">
        <v>2398</v>
      </c>
      <c r="H29" s="113" t="s">
        <v>2399</v>
      </c>
      <c r="I29" s="113" t="s">
        <v>51</v>
      </c>
      <c r="J29" s="113" t="s">
        <v>2478</v>
      </c>
      <c r="K29" s="113" t="s">
        <v>34</v>
      </c>
      <c r="L29" s="113" t="s">
        <v>53</v>
      </c>
      <c r="M29" s="113" t="s">
        <v>984</v>
      </c>
      <c r="N29" s="113">
        <v>2011</v>
      </c>
      <c r="O29" s="113"/>
      <c r="P29" s="113"/>
      <c r="Q29" s="113" t="s">
        <v>1453</v>
      </c>
      <c r="R29" s="113" t="s">
        <v>2479</v>
      </c>
      <c r="S29" s="113" t="s">
        <v>2480</v>
      </c>
      <c r="T29" s="113" t="s">
        <v>2481</v>
      </c>
      <c r="U29" s="113" t="s">
        <v>2482</v>
      </c>
      <c r="V29" s="113" t="s">
        <v>2483</v>
      </c>
      <c r="W29" s="113" t="s">
        <v>2484</v>
      </c>
      <c r="X29" s="113" t="s">
        <v>2485</v>
      </c>
      <c r="Y29" s="113" t="s">
        <v>423</v>
      </c>
      <c r="Z29" s="113" t="s">
        <v>1116</v>
      </c>
      <c r="AA29" s="113" t="s">
        <v>2486</v>
      </c>
      <c r="AB29" s="113" t="s">
        <v>48</v>
      </c>
      <c r="AC29" s="113" t="s">
        <v>48</v>
      </c>
      <c r="AD29" s="113" t="s">
        <v>48</v>
      </c>
      <c r="AE29" s="113" t="s">
        <v>48</v>
      </c>
    </row>
    <row r="30" spans="1:31">
      <c r="A30" s="6">
        <v>29</v>
      </c>
      <c r="B30" s="6" t="s">
        <v>1819</v>
      </c>
      <c r="C30" s="7"/>
      <c r="D30" s="8"/>
      <c r="E30" s="8"/>
      <c r="F30" s="9" t="s">
        <v>1820</v>
      </c>
      <c r="G30" s="9"/>
      <c r="H30" s="9" t="s">
        <v>76</v>
      </c>
      <c r="I30" s="9" t="s">
        <v>51</v>
      </c>
      <c r="J30" s="10" t="s">
        <v>2487</v>
      </c>
      <c r="K30" s="15" t="s">
        <v>34</v>
      </c>
      <c r="L30" s="9" t="s">
        <v>79</v>
      </c>
      <c r="M30" s="9" t="s">
        <v>2488</v>
      </c>
      <c r="N30" s="11">
        <v>2000</v>
      </c>
      <c r="O30" s="9" t="s">
        <v>48</v>
      </c>
      <c r="P30" s="9"/>
      <c r="Q30" s="12" t="s">
        <v>56</v>
      </c>
      <c r="R30" s="12" t="s">
        <v>1823</v>
      </c>
      <c r="S30" s="9" t="s">
        <v>1824</v>
      </c>
      <c r="T30" s="9" t="s">
        <v>1825</v>
      </c>
      <c r="U30" s="9" t="s">
        <v>1826</v>
      </c>
      <c r="V30" s="9" t="s">
        <v>1827</v>
      </c>
      <c r="W30" s="13" t="s">
        <v>1828</v>
      </c>
      <c r="X30" s="13" t="s">
        <v>1829</v>
      </c>
      <c r="Y30" s="9" t="s">
        <v>1830</v>
      </c>
      <c r="Z30" s="9" t="s">
        <v>48</v>
      </c>
      <c r="AA30" s="9" t="s">
        <v>48</v>
      </c>
      <c r="AB30" s="9" t="s">
        <v>1831</v>
      </c>
      <c r="AC30" s="9" t="s">
        <v>1832</v>
      </c>
      <c r="AD30" s="9" t="s">
        <v>48</v>
      </c>
      <c r="AE30" s="9" t="s">
        <v>48</v>
      </c>
    </row>
    <row r="31" spans="1:31">
      <c r="A31" s="113">
        <v>30</v>
      </c>
      <c r="B31" s="113" t="s">
        <v>2489</v>
      </c>
      <c r="C31" s="113"/>
      <c r="D31" s="113"/>
      <c r="E31" s="113"/>
      <c r="F31" s="113" t="s">
        <v>2490</v>
      </c>
      <c r="G31" s="113" t="s">
        <v>2398</v>
      </c>
      <c r="H31" s="113" t="s">
        <v>2399</v>
      </c>
      <c r="I31" s="113" t="s">
        <v>51</v>
      </c>
      <c r="J31" s="113" t="s">
        <v>437</v>
      </c>
      <c r="K31" s="113" t="s">
        <v>34</v>
      </c>
      <c r="L31" s="113" t="s">
        <v>199</v>
      </c>
      <c r="M31" s="113" t="s">
        <v>1389</v>
      </c>
      <c r="N31" s="113">
        <v>2006</v>
      </c>
      <c r="O31" s="113" t="s">
        <v>1726</v>
      </c>
      <c r="P31" s="113"/>
      <c r="Q31" s="113" t="s">
        <v>56</v>
      </c>
      <c r="R31" s="113" t="s">
        <v>1083</v>
      </c>
      <c r="S31" s="113" t="s">
        <v>2491</v>
      </c>
      <c r="T31" s="113" t="s">
        <v>1085</v>
      </c>
      <c r="U31" s="113" t="s">
        <v>2492</v>
      </c>
      <c r="V31" s="113" t="s">
        <v>1087</v>
      </c>
      <c r="W31" s="113" t="s">
        <v>1114</v>
      </c>
      <c r="X31" s="113" t="s">
        <v>1089</v>
      </c>
      <c r="Y31" s="113" t="s">
        <v>1370</v>
      </c>
      <c r="Z31" s="113" t="s">
        <v>1139</v>
      </c>
      <c r="AA31" s="113" t="s">
        <v>2493</v>
      </c>
      <c r="AB31" s="113" t="s">
        <v>48</v>
      </c>
      <c r="AC31" s="113" t="s">
        <v>48</v>
      </c>
      <c r="AD31" s="113" t="s">
        <v>48</v>
      </c>
      <c r="AE31" s="113" t="s">
        <v>48</v>
      </c>
    </row>
    <row r="32" spans="1:31">
      <c r="A32" s="113">
        <v>30</v>
      </c>
      <c r="B32" s="113" t="s">
        <v>2489</v>
      </c>
      <c r="C32" s="113"/>
      <c r="D32" s="113"/>
      <c r="E32" s="113"/>
      <c r="F32" s="113" t="s">
        <v>2490</v>
      </c>
      <c r="G32" s="113" t="s">
        <v>2398</v>
      </c>
      <c r="H32" s="113" t="s">
        <v>2399</v>
      </c>
      <c r="I32" s="113" t="s">
        <v>51</v>
      </c>
      <c r="J32" s="113" t="s">
        <v>2494</v>
      </c>
      <c r="K32" s="113"/>
      <c r="L32" s="113" t="s">
        <v>79</v>
      </c>
      <c r="M32" s="113" t="s">
        <v>1836</v>
      </c>
      <c r="N32" s="113">
        <v>2006</v>
      </c>
      <c r="O32" s="113" t="s">
        <v>1726</v>
      </c>
      <c r="P32" s="113"/>
      <c r="Q32" s="113" t="s">
        <v>56</v>
      </c>
      <c r="R32" s="113" t="s">
        <v>1083</v>
      </c>
      <c r="S32" s="113" t="s">
        <v>2491</v>
      </c>
      <c r="T32" s="113" t="s">
        <v>1085</v>
      </c>
      <c r="U32" s="113" t="s">
        <v>2492</v>
      </c>
      <c r="V32" s="113" t="s">
        <v>1087</v>
      </c>
      <c r="W32" s="113" t="s">
        <v>1114</v>
      </c>
      <c r="X32" s="113" t="s">
        <v>1089</v>
      </c>
      <c r="Y32" s="113" t="s">
        <v>1370</v>
      </c>
      <c r="Z32" s="113" t="s">
        <v>1139</v>
      </c>
      <c r="AA32" s="113" t="s">
        <v>2493</v>
      </c>
      <c r="AB32" s="113" t="s">
        <v>48</v>
      </c>
      <c r="AC32" s="113" t="s">
        <v>48</v>
      </c>
      <c r="AD32" s="113" t="s">
        <v>48</v>
      </c>
      <c r="AE32" s="113" t="s">
        <v>48</v>
      </c>
    </row>
    <row r="33" spans="1:31">
      <c r="A33" s="39">
        <v>31</v>
      </c>
      <c r="B33" s="39" t="s">
        <v>2495</v>
      </c>
      <c r="C33" s="7"/>
      <c r="D33" s="8"/>
      <c r="E33" s="8"/>
      <c r="F33" s="103" t="s">
        <v>2496</v>
      </c>
      <c r="G33" s="103"/>
      <c r="H33" s="103" t="s">
        <v>2393</v>
      </c>
      <c r="I33" s="103" t="s">
        <v>51</v>
      </c>
      <c r="J33" s="104" t="s">
        <v>35</v>
      </c>
      <c r="K33" s="105" t="s">
        <v>34</v>
      </c>
      <c r="L33" s="103" t="s">
        <v>35</v>
      </c>
      <c r="M33" s="103" t="s">
        <v>984</v>
      </c>
      <c r="N33" s="106">
        <v>2003</v>
      </c>
      <c r="O33" s="103" t="s">
        <v>2497</v>
      </c>
      <c r="P33" s="103"/>
      <c r="Q33" s="107" t="s">
        <v>38</v>
      </c>
      <c r="R33" s="107" t="s">
        <v>2498</v>
      </c>
      <c r="S33" s="103" t="s">
        <v>2499</v>
      </c>
      <c r="T33" s="103" t="s">
        <v>1085</v>
      </c>
      <c r="U33" s="103" t="s">
        <v>2500</v>
      </c>
      <c r="V33" s="103" t="s">
        <v>1087</v>
      </c>
      <c r="W33" s="108" t="s">
        <v>1363</v>
      </c>
      <c r="X33" s="108" t="s">
        <v>2501</v>
      </c>
      <c r="Y33" s="103" t="s">
        <v>1370</v>
      </c>
      <c r="Z33" s="103" t="s">
        <v>1531</v>
      </c>
      <c r="AA33" s="103" t="s">
        <v>2502</v>
      </c>
      <c r="AB33" s="103" t="s">
        <v>48</v>
      </c>
      <c r="AC33" s="103" t="s">
        <v>48</v>
      </c>
      <c r="AD33" s="103" t="s">
        <v>48</v>
      </c>
      <c r="AE33" s="103" t="s">
        <v>48</v>
      </c>
    </row>
    <row r="34" spans="1:31">
      <c r="A34" s="109">
        <v>32</v>
      </c>
      <c r="B34" s="109" t="s">
        <v>2503</v>
      </c>
      <c r="C34" s="110"/>
      <c r="D34" s="111"/>
      <c r="E34" s="111"/>
      <c r="F34" s="112" t="s">
        <v>2504</v>
      </c>
      <c r="G34" s="112" t="s">
        <v>2398</v>
      </c>
      <c r="H34" s="112" t="s">
        <v>2399</v>
      </c>
      <c r="I34" s="112" t="s">
        <v>51</v>
      </c>
      <c r="J34" s="113" t="s">
        <v>2505</v>
      </c>
      <c r="K34" s="114" t="s">
        <v>2460</v>
      </c>
      <c r="L34" s="112" t="s">
        <v>181</v>
      </c>
      <c r="M34" s="112" t="s">
        <v>2293</v>
      </c>
      <c r="N34" s="115">
        <v>2007</v>
      </c>
      <c r="O34" s="112" t="s">
        <v>2506</v>
      </c>
      <c r="P34" s="112"/>
      <c r="Q34" s="115" t="s">
        <v>38</v>
      </c>
      <c r="R34" s="115" t="s">
        <v>1360</v>
      </c>
      <c r="S34" s="112" t="s">
        <v>2507</v>
      </c>
      <c r="T34" s="112" t="s">
        <v>1085</v>
      </c>
      <c r="U34" s="112" t="s">
        <v>2508</v>
      </c>
      <c r="V34" s="112" t="s">
        <v>1149</v>
      </c>
      <c r="W34" s="116" t="s">
        <v>1363</v>
      </c>
      <c r="X34" s="116" t="s">
        <v>1089</v>
      </c>
      <c r="Y34" s="112"/>
      <c r="Z34" s="112" t="s">
        <v>1139</v>
      </c>
      <c r="AA34" s="112" t="s">
        <v>2509</v>
      </c>
      <c r="AB34" s="112" t="s">
        <v>48</v>
      </c>
      <c r="AC34" s="112" t="s">
        <v>48</v>
      </c>
      <c r="AD34" s="112" t="s">
        <v>48</v>
      </c>
      <c r="AE34" s="112" t="s">
        <v>48</v>
      </c>
    </row>
    <row r="35" spans="1:31">
      <c r="A35" s="39">
        <v>33</v>
      </c>
      <c r="B35" s="39" t="s">
        <v>2510</v>
      </c>
      <c r="C35" s="101"/>
      <c r="D35" s="102"/>
      <c r="E35" s="102"/>
      <c r="F35" s="103" t="s">
        <v>2511</v>
      </c>
      <c r="G35" s="103"/>
      <c r="H35" s="103" t="s">
        <v>2393</v>
      </c>
      <c r="I35" s="103" t="s">
        <v>51</v>
      </c>
      <c r="J35" s="104" t="s">
        <v>35</v>
      </c>
      <c r="K35" s="105" t="s">
        <v>34</v>
      </c>
      <c r="L35" s="103" t="s">
        <v>35</v>
      </c>
      <c r="M35" s="103" t="s">
        <v>984</v>
      </c>
      <c r="N35" s="106">
        <v>2007</v>
      </c>
      <c r="O35" s="103"/>
      <c r="P35" s="103"/>
      <c r="Q35" s="107" t="s">
        <v>1383</v>
      </c>
      <c r="R35" s="107" t="s">
        <v>2512</v>
      </c>
      <c r="S35" s="103">
        <v>269501</v>
      </c>
      <c r="T35" s="103" t="s">
        <v>1085</v>
      </c>
      <c r="U35" s="103" t="s">
        <v>2513</v>
      </c>
      <c r="V35" s="103" t="s">
        <v>2514</v>
      </c>
      <c r="W35" s="108" t="s">
        <v>1385</v>
      </c>
      <c r="X35" s="108" t="s">
        <v>1089</v>
      </c>
      <c r="Y35" s="103" t="s">
        <v>1370</v>
      </c>
      <c r="Z35" s="103" t="s">
        <v>1152</v>
      </c>
      <c r="AA35" s="103" t="s">
        <v>2515</v>
      </c>
      <c r="AB35" s="103" t="s">
        <v>48</v>
      </c>
      <c r="AC35" s="103" t="s">
        <v>48</v>
      </c>
      <c r="AD35" s="103" t="s">
        <v>48</v>
      </c>
      <c r="AE35" s="103" t="s">
        <v>48</v>
      </c>
    </row>
    <row r="36" spans="1:31">
      <c r="A36" s="6">
        <v>34</v>
      </c>
      <c r="B36" s="6" t="s">
        <v>1582</v>
      </c>
      <c r="C36" s="7"/>
      <c r="D36" s="8"/>
      <c r="E36" s="8"/>
      <c r="F36" s="13" t="s">
        <v>1583</v>
      </c>
      <c r="G36" s="9"/>
      <c r="H36" s="13" t="s">
        <v>76</v>
      </c>
      <c r="I36" s="9" t="s">
        <v>51</v>
      </c>
      <c r="J36" s="10" t="s">
        <v>1584</v>
      </c>
      <c r="K36" s="15" t="s">
        <v>34</v>
      </c>
      <c r="L36" s="9" t="s">
        <v>199</v>
      </c>
      <c r="M36" s="9" t="s">
        <v>1389</v>
      </c>
      <c r="N36" s="11">
        <v>2016</v>
      </c>
      <c r="O36" s="9" t="s">
        <v>1585</v>
      </c>
      <c r="P36" s="9"/>
      <c r="Q36" s="12" t="s">
        <v>38</v>
      </c>
      <c r="R36" s="12" t="s">
        <v>1586</v>
      </c>
      <c r="S36" s="9" t="s">
        <v>1587</v>
      </c>
      <c r="T36" s="9" t="s">
        <v>1085</v>
      </c>
      <c r="U36" s="9" t="s">
        <v>1588</v>
      </c>
      <c r="V36" s="9" t="s">
        <v>1589</v>
      </c>
      <c r="W36" s="13" t="s">
        <v>1114</v>
      </c>
      <c r="X36" s="13" t="s">
        <v>1590</v>
      </c>
      <c r="Y36" s="9" t="s">
        <v>1370</v>
      </c>
      <c r="Z36" s="9" t="s">
        <v>1591</v>
      </c>
      <c r="AA36" s="9" t="s">
        <v>1592</v>
      </c>
      <c r="AB36" s="9" t="s">
        <v>48</v>
      </c>
      <c r="AC36" s="9" t="s">
        <v>48</v>
      </c>
      <c r="AD36" s="9" t="s">
        <v>48</v>
      </c>
      <c r="AE36" s="9" t="s">
        <v>48</v>
      </c>
    </row>
    <row r="37" spans="1:31">
      <c r="A37" s="6">
        <v>35</v>
      </c>
      <c r="B37" s="6" t="s">
        <v>1833</v>
      </c>
      <c r="C37" s="7"/>
      <c r="D37" s="8"/>
      <c r="E37" s="8"/>
      <c r="F37" s="9" t="s">
        <v>1834</v>
      </c>
      <c r="G37" s="9"/>
      <c r="H37" s="9" t="s">
        <v>76</v>
      </c>
      <c r="I37" s="9" t="s">
        <v>51</v>
      </c>
      <c r="J37" s="10" t="s">
        <v>1835</v>
      </c>
      <c r="K37" s="15" t="s">
        <v>34</v>
      </c>
      <c r="L37" s="9" t="s">
        <v>79</v>
      </c>
      <c r="M37" s="9" t="s">
        <v>1836</v>
      </c>
      <c r="N37" s="11">
        <v>1994</v>
      </c>
      <c r="O37" s="9"/>
      <c r="P37" s="9"/>
      <c r="Q37" s="12" t="s">
        <v>1453</v>
      </c>
      <c r="R37" s="12" t="s">
        <v>1837</v>
      </c>
      <c r="S37" s="9" t="s">
        <v>1832</v>
      </c>
      <c r="T37" s="9" t="s">
        <v>1838</v>
      </c>
      <c r="U37" s="9" t="s">
        <v>1839</v>
      </c>
      <c r="V37" s="9" t="s">
        <v>1840</v>
      </c>
      <c r="W37" s="13" t="s">
        <v>1841</v>
      </c>
      <c r="X37" s="13" t="s">
        <v>1842</v>
      </c>
      <c r="Y37" s="9" t="s">
        <v>1138</v>
      </c>
      <c r="Z37" s="9" t="s">
        <v>1843</v>
      </c>
      <c r="AA37" s="9" t="s">
        <v>1844</v>
      </c>
      <c r="AB37" s="9" t="s">
        <v>48</v>
      </c>
      <c r="AC37" s="9" t="s">
        <v>48</v>
      </c>
      <c r="AD37" s="9" t="s">
        <v>48</v>
      </c>
      <c r="AE37" s="9" t="s">
        <v>48</v>
      </c>
    </row>
    <row r="38" spans="1:31">
      <c r="A38" s="6">
        <v>36</v>
      </c>
      <c r="B38" s="6" t="s">
        <v>1323</v>
      </c>
      <c r="C38" s="7" t="s">
        <v>1018</v>
      </c>
      <c r="D38" s="8" t="s">
        <v>1018</v>
      </c>
      <c r="E38" s="8" t="s">
        <v>1018</v>
      </c>
      <c r="F38" s="9" t="s">
        <v>1324</v>
      </c>
      <c r="G38" s="9"/>
      <c r="H38" s="9" t="s">
        <v>1181</v>
      </c>
      <c r="I38" s="9" t="s">
        <v>32</v>
      </c>
      <c r="J38" s="10" t="s">
        <v>1325</v>
      </c>
      <c r="K38" s="15" t="s">
        <v>982</v>
      </c>
      <c r="L38" s="9" t="s">
        <v>35</v>
      </c>
      <c r="M38" s="9" t="s">
        <v>1326</v>
      </c>
      <c r="N38" s="11">
        <v>2005</v>
      </c>
      <c r="O38" s="9" t="s">
        <v>1327</v>
      </c>
      <c r="P38" s="9"/>
      <c r="Q38" s="12" t="s">
        <v>1328</v>
      </c>
      <c r="R38" s="12" t="s">
        <v>75</v>
      </c>
      <c r="S38" s="9" t="s">
        <v>1329</v>
      </c>
      <c r="T38" s="9" t="s">
        <v>1085</v>
      </c>
      <c r="U38" s="9" t="s">
        <v>1330</v>
      </c>
      <c r="V38" s="9" t="s">
        <v>1331</v>
      </c>
      <c r="W38" s="13" t="s">
        <v>1332</v>
      </c>
      <c r="X38" s="13" t="s">
        <v>1333</v>
      </c>
      <c r="Y38" s="9" t="s">
        <v>1334</v>
      </c>
      <c r="Z38" s="9" t="s">
        <v>1335</v>
      </c>
      <c r="AA38" s="9" t="s">
        <v>1336</v>
      </c>
      <c r="AB38" s="9" t="s">
        <v>1337</v>
      </c>
      <c r="AC38" s="9" t="s">
        <v>1338</v>
      </c>
      <c r="AD38" s="9" t="s">
        <v>48</v>
      </c>
      <c r="AE38" s="9" t="s">
        <v>48</v>
      </c>
    </row>
    <row r="39" spans="1:31">
      <c r="A39" s="6">
        <v>37</v>
      </c>
      <c r="B39" s="6" t="s">
        <v>1845</v>
      </c>
      <c r="C39" s="7"/>
      <c r="D39" s="8"/>
      <c r="E39" s="8"/>
      <c r="F39" s="9" t="s">
        <v>1846</v>
      </c>
      <c r="G39" s="9"/>
      <c r="H39" s="9" t="s">
        <v>76</v>
      </c>
      <c r="I39" s="9" t="s">
        <v>51</v>
      </c>
      <c r="J39" s="10" t="s">
        <v>1847</v>
      </c>
      <c r="K39" s="15" t="s">
        <v>34</v>
      </c>
      <c r="L39" s="9" t="s">
        <v>79</v>
      </c>
      <c r="M39" s="9" t="s">
        <v>1836</v>
      </c>
      <c r="N39" s="11">
        <v>2003</v>
      </c>
      <c r="O39" s="9"/>
      <c r="P39" s="9"/>
      <c r="Q39" s="12" t="s">
        <v>38</v>
      </c>
      <c r="R39" s="12" t="s">
        <v>1848</v>
      </c>
      <c r="S39" s="9" t="s">
        <v>1849</v>
      </c>
      <c r="T39" s="9" t="s">
        <v>1085</v>
      </c>
      <c r="U39" s="9" t="s">
        <v>1850</v>
      </c>
      <c r="V39" s="9" t="s">
        <v>1087</v>
      </c>
      <c r="W39" s="13" t="s">
        <v>1177</v>
      </c>
      <c r="X39" s="13" t="s">
        <v>1851</v>
      </c>
      <c r="Y39" s="9" t="s">
        <v>1347</v>
      </c>
      <c r="Z39" s="9" t="s">
        <v>1852</v>
      </c>
      <c r="AA39" s="9" t="s">
        <v>1853</v>
      </c>
      <c r="AB39" s="9" t="s">
        <v>48</v>
      </c>
      <c r="AC39" s="9" t="s">
        <v>48</v>
      </c>
      <c r="AD39" s="9" t="s">
        <v>48</v>
      </c>
      <c r="AE39" s="9" t="s">
        <v>48</v>
      </c>
    </row>
    <row r="40" spans="1:31">
      <c r="A40" s="6">
        <v>38</v>
      </c>
      <c r="B40" s="6" t="s">
        <v>1854</v>
      </c>
      <c r="C40" s="7"/>
      <c r="D40" s="8"/>
      <c r="E40" s="8"/>
      <c r="F40" s="9" t="s">
        <v>1855</v>
      </c>
      <c r="G40" s="9"/>
      <c r="H40" s="9" t="s">
        <v>76</v>
      </c>
      <c r="I40" s="9" t="s">
        <v>51</v>
      </c>
      <c r="J40" s="10" t="s">
        <v>2516</v>
      </c>
      <c r="K40" s="15" t="s">
        <v>982</v>
      </c>
      <c r="L40" s="9" t="s">
        <v>2517</v>
      </c>
      <c r="M40" s="9" t="s">
        <v>1813</v>
      </c>
      <c r="N40" s="11">
        <v>2009</v>
      </c>
      <c r="O40" s="9" t="s">
        <v>1858</v>
      </c>
      <c r="P40" s="10" t="s">
        <v>1859</v>
      </c>
      <c r="Q40" s="12" t="s">
        <v>38</v>
      </c>
      <c r="R40" s="12" t="s">
        <v>1158</v>
      </c>
      <c r="S40" s="9" t="s">
        <v>1860</v>
      </c>
      <c r="T40" s="9" t="s">
        <v>1111</v>
      </c>
      <c r="U40" s="9" t="s">
        <v>1861</v>
      </c>
      <c r="V40" s="9" t="s">
        <v>1862</v>
      </c>
      <c r="W40" s="13" t="s">
        <v>1187</v>
      </c>
      <c r="X40" s="13" t="s">
        <v>1546</v>
      </c>
      <c r="Y40" s="9" t="s">
        <v>1188</v>
      </c>
      <c r="Z40" s="9" t="s">
        <v>1152</v>
      </c>
      <c r="AA40" s="9" t="s">
        <v>1863</v>
      </c>
      <c r="AB40" s="9" t="s">
        <v>48</v>
      </c>
      <c r="AC40" s="9" t="s">
        <v>48</v>
      </c>
      <c r="AD40" s="9" t="s">
        <v>48</v>
      </c>
      <c r="AE40" s="9" t="s">
        <v>48</v>
      </c>
    </row>
    <row r="41" spans="1:31">
      <c r="A41" s="113">
        <v>39</v>
      </c>
      <c r="B41" s="113" t="s">
        <v>2518</v>
      </c>
      <c r="C41" s="113"/>
      <c r="D41" s="113"/>
      <c r="E41" s="113"/>
      <c r="F41" s="113" t="s">
        <v>2519</v>
      </c>
      <c r="G41" s="113" t="s">
        <v>2398</v>
      </c>
      <c r="H41" s="113" t="s">
        <v>2399</v>
      </c>
      <c r="I41" s="113" t="s">
        <v>51</v>
      </c>
      <c r="J41" s="113" t="s">
        <v>2520</v>
      </c>
      <c r="K41" s="113"/>
      <c r="L41" s="113" t="s">
        <v>2016</v>
      </c>
      <c r="M41" s="113" t="s">
        <v>2401</v>
      </c>
      <c r="N41" s="113">
        <v>1995</v>
      </c>
      <c r="O41" s="113"/>
      <c r="P41" s="113"/>
      <c r="Q41" s="113" t="s">
        <v>1453</v>
      </c>
      <c r="R41" s="113" t="s">
        <v>2521</v>
      </c>
      <c r="S41" s="113" t="s">
        <v>1832</v>
      </c>
      <c r="T41" s="113" t="s">
        <v>2522</v>
      </c>
      <c r="U41" s="113">
        <v>511857526</v>
      </c>
      <c r="V41" s="113" t="s">
        <v>2523</v>
      </c>
      <c r="W41" s="113" t="s">
        <v>2524</v>
      </c>
      <c r="X41" s="113" t="s">
        <v>2525</v>
      </c>
      <c r="Y41" s="113" t="s">
        <v>2526</v>
      </c>
      <c r="Z41" s="113" t="s">
        <v>2527</v>
      </c>
      <c r="AA41" s="113" t="s">
        <v>2528</v>
      </c>
      <c r="AB41" s="113" t="s">
        <v>48</v>
      </c>
      <c r="AC41" s="113" t="s">
        <v>48</v>
      </c>
      <c r="AD41" s="113" t="s">
        <v>48</v>
      </c>
      <c r="AE41" s="113" t="s">
        <v>48</v>
      </c>
    </row>
    <row r="42" spans="1:31">
      <c r="A42" s="113">
        <v>40</v>
      </c>
      <c r="B42" s="113" t="s">
        <v>2529</v>
      </c>
      <c r="C42" s="113"/>
      <c r="D42" s="113"/>
      <c r="E42" s="113"/>
      <c r="F42" s="113" t="s">
        <v>1832</v>
      </c>
      <c r="G42" s="113" t="s">
        <v>2398</v>
      </c>
      <c r="H42" s="113" t="s">
        <v>2399</v>
      </c>
      <c r="I42" s="113" t="s">
        <v>51</v>
      </c>
      <c r="J42" s="113" t="s">
        <v>2530</v>
      </c>
      <c r="K42" s="113"/>
      <c r="L42" s="113" t="s">
        <v>2016</v>
      </c>
      <c r="M42" s="113" t="s">
        <v>2401</v>
      </c>
      <c r="N42" s="113">
        <v>1996</v>
      </c>
      <c r="O42" s="113"/>
      <c r="P42" s="113"/>
      <c r="Q42" s="113" t="s">
        <v>1453</v>
      </c>
      <c r="R42" s="113" t="s">
        <v>2531</v>
      </c>
      <c r="S42" s="113" t="s">
        <v>2532</v>
      </c>
      <c r="T42" s="113" t="s">
        <v>2533</v>
      </c>
      <c r="U42" s="113">
        <v>545519428</v>
      </c>
      <c r="V42" s="113" t="s">
        <v>1827</v>
      </c>
      <c r="W42" s="113" t="s">
        <v>2534</v>
      </c>
      <c r="X42" s="113" t="s">
        <v>1829</v>
      </c>
      <c r="Y42" s="113" t="s">
        <v>1842</v>
      </c>
      <c r="Z42" s="113" t="s">
        <v>2527</v>
      </c>
      <c r="AA42" s="113" t="s">
        <v>2528</v>
      </c>
      <c r="AB42" s="113" t="s">
        <v>48</v>
      </c>
      <c r="AC42" s="113" t="s">
        <v>48</v>
      </c>
      <c r="AD42" s="113" t="s">
        <v>48</v>
      </c>
      <c r="AE42" s="113" t="s">
        <v>48</v>
      </c>
    </row>
    <row r="43" spans="1:31">
      <c r="A43" s="39">
        <v>41</v>
      </c>
      <c r="B43" s="39" t="s">
        <v>2535</v>
      </c>
      <c r="C43" s="101"/>
      <c r="D43" s="102"/>
      <c r="E43" s="102"/>
      <c r="F43" s="103" t="s">
        <v>2536</v>
      </c>
      <c r="G43" s="103"/>
      <c r="H43" s="103" t="s">
        <v>2393</v>
      </c>
      <c r="I43" s="103" t="s">
        <v>51</v>
      </c>
      <c r="J43" s="104" t="s">
        <v>35</v>
      </c>
      <c r="K43" s="105" t="s">
        <v>34</v>
      </c>
      <c r="L43" s="103" t="s">
        <v>35</v>
      </c>
      <c r="M43" s="103" t="s">
        <v>984</v>
      </c>
      <c r="N43" s="106">
        <v>2006</v>
      </c>
      <c r="O43" s="103" t="s">
        <v>214</v>
      </c>
      <c r="P43" s="103"/>
      <c r="Q43" s="107" t="s">
        <v>56</v>
      </c>
      <c r="R43" s="107" t="s">
        <v>1083</v>
      </c>
      <c r="S43" s="103" t="s">
        <v>2491</v>
      </c>
      <c r="T43" s="103" t="s">
        <v>1085</v>
      </c>
      <c r="U43" s="103" t="s">
        <v>2492</v>
      </c>
      <c r="V43" s="103" t="s">
        <v>1087</v>
      </c>
      <c r="W43" s="108" t="s">
        <v>1114</v>
      </c>
      <c r="X43" s="108" t="s">
        <v>1089</v>
      </c>
      <c r="Y43" s="103" t="s">
        <v>1370</v>
      </c>
      <c r="Z43" s="103" t="s">
        <v>1139</v>
      </c>
      <c r="AA43" s="103" t="s">
        <v>2493</v>
      </c>
      <c r="AB43" s="103" t="s">
        <v>48</v>
      </c>
      <c r="AC43" s="103" t="s">
        <v>48</v>
      </c>
      <c r="AD43" s="103" t="s">
        <v>48</v>
      </c>
      <c r="AE43" s="103" t="s">
        <v>48</v>
      </c>
    </row>
    <row r="44" spans="1:31">
      <c r="A44" s="6">
        <v>42</v>
      </c>
      <c r="B44" s="6" t="s">
        <v>2290</v>
      </c>
      <c r="C44" s="7"/>
      <c r="D44" s="8"/>
      <c r="E44" s="8"/>
      <c r="F44" s="9" t="s">
        <v>2291</v>
      </c>
      <c r="G44" s="9"/>
      <c r="H44" s="9" t="s">
        <v>76</v>
      </c>
      <c r="I44" s="9" t="s">
        <v>51</v>
      </c>
      <c r="J44" s="10" t="s">
        <v>2537</v>
      </c>
      <c r="K44" s="15" t="s">
        <v>34</v>
      </c>
      <c r="L44" s="9" t="s">
        <v>181</v>
      </c>
      <c r="M44" s="9" t="s">
        <v>2538</v>
      </c>
      <c r="N44" s="11">
        <v>2003</v>
      </c>
      <c r="O44" s="9" t="s">
        <v>2294</v>
      </c>
      <c r="P44" s="10" t="s">
        <v>2295</v>
      </c>
      <c r="Q44" s="12" t="s">
        <v>1453</v>
      </c>
      <c r="R44" s="12" t="s">
        <v>2296</v>
      </c>
      <c r="S44" s="9" t="s">
        <v>2297</v>
      </c>
      <c r="T44" s="9" t="s">
        <v>1085</v>
      </c>
      <c r="U44" s="9" t="s">
        <v>2298</v>
      </c>
      <c r="V44" s="9" t="s">
        <v>1087</v>
      </c>
      <c r="W44" s="13" t="s">
        <v>2299</v>
      </c>
      <c r="X44" s="13" t="s">
        <v>1089</v>
      </c>
      <c r="Y44" s="9" t="s">
        <v>1347</v>
      </c>
      <c r="Z44" s="9" t="s">
        <v>2300</v>
      </c>
      <c r="AA44" s="9" t="s">
        <v>2301</v>
      </c>
      <c r="AB44" s="9" t="s">
        <v>48</v>
      </c>
      <c r="AC44" s="9" t="s">
        <v>48</v>
      </c>
      <c r="AD44" s="9" t="s">
        <v>48</v>
      </c>
      <c r="AE44" s="9" t="s">
        <v>48</v>
      </c>
    </row>
    <row r="45" spans="1:31">
      <c r="A45" s="6">
        <v>43</v>
      </c>
      <c r="B45" s="6" t="s">
        <v>1864</v>
      </c>
      <c r="C45" s="7"/>
      <c r="D45" s="8"/>
      <c r="E45" s="8"/>
      <c r="F45" s="9" t="s">
        <v>1865</v>
      </c>
      <c r="G45" s="9"/>
      <c r="H45" s="9" t="s">
        <v>76</v>
      </c>
      <c r="I45" s="9" t="s">
        <v>51</v>
      </c>
      <c r="J45" s="10" t="s">
        <v>1281</v>
      </c>
      <c r="K45" s="15" t="s">
        <v>982</v>
      </c>
      <c r="L45" s="9" t="s">
        <v>79</v>
      </c>
      <c r="M45" s="9" t="s">
        <v>2539</v>
      </c>
      <c r="N45" s="11">
        <v>2013</v>
      </c>
      <c r="O45" s="9" t="s">
        <v>1868</v>
      </c>
      <c r="P45" s="10" t="s">
        <v>1869</v>
      </c>
      <c r="Q45" s="12" t="s">
        <v>38</v>
      </c>
      <c r="R45" s="12" t="s">
        <v>987</v>
      </c>
      <c r="S45" s="9" t="s">
        <v>1870</v>
      </c>
      <c r="T45" s="9" t="s">
        <v>989</v>
      </c>
      <c r="U45" s="9" t="s">
        <v>990</v>
      </c>
      <c r="V45" s="9" t="s">
        <v>991</v>
      </c>
      <c r="W45" s="13" t="s">
        <v>1103</v>
      </c>
      <c r="X45" s="13" t="s">
        <v>44</v>
      </c>
      <c r="Y45" s="9" t="s">
        <v>45</v>
      </c>
      <c r="Z45" s="9" t="s">
        <v>46</v>
      </c>
      <c r="AA45" s="9" t="s">
        <v>1871</v>
      </c>
      <c r="AB45" s="9" t="s">
        <v>48</v>
      </c>
      <c r="AC45" s="9" t="s">
        <v>48</v>
      </c>
      <c r="AD45" s="9" t="s">
        <v>48</v>
      </c>
      <c r="AE45" s="9" t="s">
        <v>48</v>
      </c>
    </row>
    <row r="46" spans="1:31">
      <c r="A46" s="39">
        <v>44</v>
      </c>
      <c r="B46" s="39" t="s">
        <v>2540</v>
      </c>
      <c r="C46" s="101"/>
      <c r="D46" s="102"/>
      <c r="E46" s="102"/>
      <c r="F46" s="103" t="s">
        <v>2541</v>
      </c>
      <c r="G46" s="103"/>
      <c r="H46" s="103" t="s">
        <v>2393</v>
      </c>
      <c r="I46" s="103" t="s">
        <v>51</v>
      </c>
      <c r="J46" s="104" t="s">
        <v>35</v>
      </c>
      <c r="K46" s="105" t="s">
        <v>34</v>
      </c>
      <c r="L46" s="103" t="s">
        <v>35</v>
      </c>
      <c r="M46" s="103" t="s">
        <v>984</v>
      </c>
      <c r="N46" s="106">
        <v>2008</v>
      </c>
      <c r="O46" s="103"/>
      <c r="P46" s="103"/>
      <c r="Q46" s="107" t="s">
        <v>38</v>
      </c>
      <c r="R46" s="107" t="s">
        <v>1360</v>
      </c>
      <c r="S46" s="103" t="s">
        <v>2542</v>
      </c>
      <c r="T46" s="103" t="s">
        <v>1085</v>
      </c>
      <c r="U46" s="103" t="s">
        <v>2543</v>
      </c>
      <c r="V46" s="103" t="s">
        <v>1149</v>
      </c>
      <c r="W46" s="108" t="s">
        <v>1363</v>
      </c>
      <c r="X46" s="108" t="s">
        <v>1138</v>
      </c>
      <c r="Y46" s="103" t="s">
        <v>1370</v>
      </c>
      <c r="Z46" s="103" t="s">
        <v>1139</v>
      </c>
      <c r="AA46" s="103" t="s">
        <v>2544</v>
      </c>
      <c r="AB46" s="103" t="s">
        <v>48</v>
      </c>
      <c r="AC46" s="103" t="s">
        <v>48</v>
      </c>
      <c r="AD46" s="103" t="s">
        <v>48</v>
      </c>
      <c r="AE46" s="103" t="s">
        <v>48</v>
      </c>
    </row>
    <row r="47" spans="1:31">
      <c r="A47" s="39">
        <v>45</v>
      </c>
      <c r="B47" s="39" t="s">
        <v>2545</v>
      </c>
      <c r="C47" s="101"/>
      <c r="D47" s="102"/>
      <c r="E47" s="102"/>
      <c r="F47" s="103" t="s">
        <v>2546</v>
      </c>
      <c r="G47" s="103"/>
      <c r="H47" s="103" t="s">
        <v>2393</v>
      </c>
      <c r="I47" s="103" t="s">
        <v>51</v>
      </c>
      <c r="J47" s="104" t="s">
        <v>35</v>
      </c>
      <c r="K47" s="105" t="s">
        <v>34</v>
      </c>
      <c r="L47" s="103" t="s">
        <v>53</v>
      </c>
      <c r="M47" s="103" t="s">
        <v>984</v>
      </c>
      <c r="N47" s="106">
        <v>2006</v>
      </c>
      <c r="O47" s="103"/>
      <c r="P47" s="103"/>
      <c r="Q47" s="107" t="s">
        <v>56</v>
      </c>
      <c r="R47" s="107" t="s">
        <v>1083</v>
      </c>
      <c r="S47" s="103" t="s">
        <v>2547</v>
      </c>
      <c r="T47" s="103" t="s">
        <v>1085</v>
      </c>
      <c r="U47" s="103" t="s">
        <v>2548</v>
      </c>
      <c r="V47" s="103" t="s">
        <v>1087</v>
      </c>
      <c r="W47" s="108" t="s">
        <v>1088</v>
      </c>
      <c r="X47" s="108" t="s">
        <v>1089</v>
      </c>
      <c r="Y47" s="103" t="s">
        <v>1370</v>
      </c>
      <c r="Z47" s="103" t="s">
        <v>1139</v>
      </c>
      <c r="AA47" s="103" t="s">
        <v>2549</v>
      </c>
      <c r="AB47" s="103" t="s">
        <v>48</v>
      </c>
      <c r="AC47" s="103" t="s">
        <v>48</v>
      </c>
      <c r="AD47" s="103" t="s">
        <v>48</v>
      </c>
      <c r="AE47" s="103" t="s">
        <v>48</v>
      </c>
    </row>
    <row r="48" spans="1:31" ht="30">
      <c r="A48" s="6">
        <v>46</v>
      </c>
      <c r="B48" s="6" t="s">
        <v>1872</v>
      </c>
      <c r="C48" s="7"/>
      <c r="D48" s="8"/>
      <c r="E48" s="8"/>
      <c r="F48" s="9" t="s">
        <v>1873</v>
      </c>
      <c r="G48" s="9"/>
      <c r="H48" s="9" t="s">
        <v>76</v>
      </c>
      <c r="I48" s="9" t="s">
        <v>51</v>
      </c>
      <c r="J48" s="10" t="s">
        <v>2550</v>
      </c>
      <c r="K48" s="15" t="s">
        <v>34</v>
      </c>
      <c r="L48" s="9" t="s">
        <v>79</v>
      </c>
      <c r="M48" s="9" t="s">
        <v>1875</v>
      </c>
      <c r="N48" s="11">
        <v>2001</v>
      </c>
      <c r="O48" s="9" t="s">
        <v>48</v>
      </c>
      <c r="P48" s="9"/>
      <c r="Q48" s="12" t="s">
        <v>1453</v>
      </c>
      <c r="R48" s="12" t="s">
        <v>1876</v>
      </c>
      <c r="S48" s="9" t="s">
        <v>1877</v>
      </c>
      <c r="T48" s="9" t="s">
        <v>1878</v>
      </c>
      <c r="U48" s="9" t="s">
        <v>1879</v>
      </c>
      <c r="V48" s="9" t="s">
        <v>1087</v>
      </c>
      <c r="W48" s="13" t="s">
        <v>1385</v>
      </c>
      <c r="X48" s="13" t="s">
        <v>1880</v>
      </c>
      <c r="Y48" s="9" t="s">
        <v>1370</v>
      </c>
      <c r="Z48" s="9" t="s">
        <v>48</v>
      </c>
      <c r="AA48" s="9" t="s">
        <v>48</v>
      </c>
      <c r="AB48" s="9" t="s">
        <v>48</v>
      </c>
      <c r="AC48" s="9" t="s">
        <v>48</v>
      </c>
      <c r="AD48" s="9" t="s">
        <v>48</v>
      </c>
      <c r="AE48" s="9" t="s">
        <v>48</v>
      </c>
    </row>
    <row r="49" spans="1:31">
      <c r="A49" s="39">
        <v>47</v>
      </c>
      <c r="B49" s="39" t="s">
        <v>2551</v>
      </c>
      <c r="C49" s="101"/>
      <c r="D49" s="102"/>
      <c r="E49" s="102"/>
      <c r="F49" s="103" t="s">
        <v>1832</v>
      </c>
      <c r="G49" s="103"/>
      <c r="H49" s="103" t="s">
        <v>2393</v>
      </c>
      <c r="I49" s="103" t="s">
        <v>51</v>
      </c>
      <c r="J49" s="104" t="s">
        <v>2552</v>
      </c>
      <c r="K49" s="105" t="s">
        <v>34</v>
      </c>
      <c r="L49" s="103" t="s">
        <v>2553</v>
      </c>
      <c r="M49" s="103" t="s">
        <v>2553</v>
      </c>
      <c r="N49" s="106"/>
      <c r="O49" s="103"/>
      <c r="P49" s="103"/>
      <c r="Q49" s="107"/>
      <c r="R49" s="107"/>
      <c r="S49" s="103"/>
      <c r="T49" s="103"/>
      <c r="U49" s="103"/>
      <c r="V49" s="103"/>
      <c r="W49" s="108"/>
      <c r="X49" s="108"/>
      <c r="Y49" s="103"/>
      <c r="Z49" s="103"/>
      <c r="AA49" s="103"/>
      <c r="AB49" s="103"/>
      <c r="AC49" s="103"/>
      <c r="AD49" s="103"/>
      <c r="AE49" s="103"/>
    </row>
    <row r="50" spans="1:31">
      <c r="A50" s="6">
        <v>48</v>
      </c>
      <c r="B50" s="6" t="s">
        <v>2554</v>
      </c>
      <c r="C50" s="7"/>
      <c r="D50" s="8"/>
      <c r="E50" s="8"/>
      <c r="F50" s="9" t="s">
        <v>2555</v>
      </c>
      <c r="G50" s="9"/>
      <c r="H50" s="9" t="s">
        <v>1181</v>
      </c>
      <c r="I50" s="9" t="s">
        <v>51</v>
      </c>
      <c r="J50" s="10" t="s">
        <v>2556</v>
      </c>
      <c r="K50" s="15" t="s">
        <v>34</v>
      </c>
      <c r="L50" s="9" t="s">
        <v>35</v>
      </c>
      <c r="M50" s="9" t="s">
        <v>984</v>
      </c>
      <c r="N50" s="11">
        <v>2007</v>
      </c>
      <c r="O50" s="9"/>
      <c r="P50" s="9"/>
      <c r="Q50" s="12" t="s">
        <v>38</v>
      </c>
      <c r="R50" s="12" t="s">
        <v>1360</v>
      </c>
      <c r="S50" s="9" t="s">
        <v>2557</v>
      </c>
      <c r="T50" s="9" t="s">
        <v>1085</v>
      </c>
      <c r="U50" s="9" t="s">
        <v>2558</v>
      </c>
      <c r="V50" s="9" t="s">
        <v>1149</v>
      </c>
      <c r="W50" s="13" t="s">
        <v>1363</v>
      </c>
      <c r="X50" s="13" t="s">
        <v>1138</v>
      </c>
      <c r="Y50" s="9" t="s">
        <v>1370</v>
      </c>
      <c r="Z50" s="9" t="s">
        <v>1139</v>
      </c>
      <c r="AA50" s="9" t="s">
        <v>2559</v>
      </c>
      <c r="AB50" s="9" t="s">
        <v>48</v>
      </c>
      <c r="AC50" s="9" t="s">
        <v>48</v>
      </c>
      <c r="AD50" s="9" t="s">
        <v>48</v>
      </c>
      <c r="AE50" s="9" t="s">
        <v>48</v>
      </c>
    </row>
    <row r="51" spans="1:31">
      <c r="A51" s="113">
        <v>49</v>
      </c>
      <c r="B51" s="113" t="s">
        <v>2560</v>
      </c>
      <c r="C51" s="113"/>
      <c r="D51" s="113"/>
      <c r="E51" s="113"/>
      <c r="F51" s="113" t="s">
        <v>2561</v>
      </c>
      <c r="G51" s="113" t="s">
        <v>2398</v>
      </c>
      <c r="H51" s="113" t="s">
        <v>2399</v>
      </c>
      <c r="I51" s="113" t="s">
        <v>51</v>
      </c>
      <c r="J51" s="113" t="s">
        <v>2562</v>
      </c>
      <c r="K51" s="113" t="s">
        <v>1243</v>
      </c>
      <c r="L51" s="113" t="s">
        <v>79</v>
      </c>
      <c r="M51" s="113" t="s">
        <v>1813</v>
      </c>
      <c r="N51" s="113">
        <v>2003</v>
      </c>
      <c r="O51" s="113" t="s">
        <v>1814</v>
      </c>
      <c r="P51" s="113" t="s">
        <v>1815</v>
      </c>
      <c r="Q51" s="113" t="s">
        <v>38</v>
      </c>
      <c r="R51" s="113" t="s">
        <v>2563</v>
      </c>
      <c r="S51" s="113" t="s">
        <v>2564</v>
      </c>
      <c r="T51" s="113" t="s">
        <v>1085</v>
      </c>
      <c r="U51" s="113" t="s">
        <v>2565</v>
      </c>
      <c r="V51" s="113" t="s">
        <v>1087</v>
      </c>
      <c r="W51" s="113" t="s">
        <v>1177</v>
      </c>
      <c r="X51" s="113" t="s">
        <v>1333</v>
      </c>
      <c r="Y51" s="113" t="s">
        <v>1347</v>
      </c>
      <c r="Z51" s="113" t="s">
        <v>2374</v>
      </c>
      <c r="AA51" s="113" t="s">
        <v>2566</v>
      </c>
      <c r="AB51" s="113" t="s">
        <v>48</v>
      </c>
      <c r="AC51" s="113" t="s">
        <v>48</v>
      </c>
      <c r="AD51" s="113" t="s">
        <v>48</v>
      </c>
      <c r="AE51" s="113" t="s">
        <v>48</v>
      </c>
    </row>
    <row r="52" spans="1:31">
      <c r="A52" s="39">
        <v>50</v>
      </c>
      <c r="B52" s="39" t="s">
        <v>2567</v>
      </c>
      <c r="C52" s="101"/>
      <c r="D52" s="102"/>
      <c r="E52" s="102"/>
      <c r="F52" s="103" t="s">
        <v>2568</v>
      </c>
      <c r="G52" s="103"/>
      <c r="H52" s="103" t="s">
        <v>2393</v>
      </c>
      <c r="I52" s="103" t="s">
        <v>51</v>
      </c>
      <c r="J52" s="104" t="s">
        <v>35</v>
      </c>
      <c r="K52" s="105" t="s">
        <v>34</v>
      </c>
      <c r="L52" s="103" t="s">
        <v>35</v>
      </c>
      <c r="M52" s="103" t="s">
        <v>984</v>
      </c>
      <c r="N52" s="106">
        <v>2003</v>
      </c>
      <c r="O52" s="103"/>
      <c r="P52" s="103"/>
      <c r="Q52" s="107" t="s">
        <v>2569</v>
      </c>
      <c r="R52" s="107" t="s">
        <v>2569</v>
      </c>
      <c r="S52" s="103">
        <v>1490</v>
      </c>
      <c r="T52" s="103" t="s">
        <v>1085</v>
      </c>
      <c r="U52" s="103" t="s">
        <v>2570</v>
      </c>
      <c r="V52" s="103" t="s">
        <v>1087</v>
      </c>
      <c r="W52" s="108" t="s">
        <v>2571</v>
      </c>
      <c r="X52" s="108" t="s">
        <v>2572</v>
      </c>
      <c r="Y52" s="103" t="s">
        <v>2573</v>
      </c>
      <c r="Z52" s="103" t="s">
        <v>2574</v>
      </c>
      <c r="AA52" s="103" t="s">
        <v>2575</v>
      </c>
      <c r="AB52" s="103" t="s">
        <v>48</v>
      </c>
      <c r="AC52" s="103" t="s">
        <v>48</v>
      </c>
      <c r="AD52" s="103" t="s">
        <v>48</v>
      </c>
      <c r="AE52" s="103" t="s">
        <v>48</v>
      </c>
    </row>
    <row r="53" spans="1:31">
      <c r="A53" s="39">
        <v>51</v>
      </c>
      <c r="B53" s="39" t="s">
        <v>2576</v>
      </c>
      <c r="C53" s="101"/>
      <c r="D53" s="102"/>
      <c r="E53" s="102"/>
      <c r="F53" s="103" t="s">
        <v>2577</v>
      </c>
      <c r="G53" s="103"/>
      <c r="H53" s="103" t="s">
        <v>1181</v>
      </c>
      <c r="I53" s="103" t="s">
        <v>51</v>
      </c>
      <c r="J53" s="104" t="s">
        <v>35</v>
      </c>
      <c r="K53" s="105" t="s">
        <v>34</v>
      </c>
      <c r="L53" s="103" t="s">
        <v>35</v>
      </c>
      <c r="M53" s="103" t="s">
        <v>984</v>
      </c>
      <c r="N53" s="106">
        <v>2004</v>
      </c>
      <c r="O53" s="103" t="s">
        <v>48</v>
      </c>
      <c r="P53" s="103"/>
      <c r="Q53" s="107" t="s">
        <v>56</v>
      </c>
      <c r="R53" s="107" t="s">
        <v>2578</v>
      </c>
      <c r="S53" s="103" t="s">
        <v>2579</v>
      </c>
      <c r="T53" s="103" t="s">
        <v>2580</v>
      </c>
      <c r="U53" s="103" t="s">
        <v>2581</v>
      </c>
      <c r="V53" s="103" t="s">
        <v>2582</v>
      </c>
      <c r="W53" s="108" t="s">
        <v>1308</v>
      </c>
      <c r="X53" s="108" t="s">
        <v>1333</v>
      </c>
      <c r="Y53" s="103" t="s">
        <v>2583</v>
      </c>
      <c r="Z53" s="103" t="s">
        <v>2584</v>
      </c>
      <c r="AA53" s="103" t="s">
        <v>2585</v>
      </c>
      <c r="AB53" s="103" t="s">
        <v>48</v>
      </c>
      <c r="AC53" s="103" t="s">
        <v>48</v>
      </c>
      <c r="AD53" s="103" t="s">
        <v>48</v>
      </c>
      <c r="AE53" s="103" t="s">
        <v>48</v>
      </c>
    </row>
    <row r="54" spans="1:31">
      <c r="A54" s="6">
        <v>52</v>
      </c>
      <c r="B54" s="6" t="s">
        <v>1225</v>
      </c>
      <c r="C54" s="6" t="s">
        <v>1226</v>
      </c>
      <c r="D54" s="16">
        <v>30</v>
      </c>
      <c r="E54" s="16" t="s">
        <v>1227</v>
      </c>
      <c r="F54" s="9" t="s">
        <v>1228</v>
      </c>
      <c r="G54" s="9"/>
      <c r="H54" s="9" t="s">
        <v>76</v>
      </c>
      <c r="I54" s="9" t="s">
        <v>51</v>
      </c>
      <c r="J54" s="10" t="s">
        <v>2586</v>
      </c>
      <c r="K54" s="15" t="s">
        <v>982</v>
      </c>
      <c r="L54" s="9" t="s">
        <v>1230</v>
      </c>
      <c r="M54" s="9" t="s">
        <v>1231</v>
      </c>
      <c r="N54" s="11">
        <v>2011</v>
      </c>
      <c r="O54" s="9" t="s">
        <v>1232</v>
      </c>
      <c r="P54" s="10" t="s">
        <v>1233</v>
      </c>
      <c r="Q54" s="12" t="s">
        <v>38</v>
      </c>
      <c r="R54" s="12" t="s">
        <v>1234</v>
      </c>
      <c r="S54" s="9" t="s">
        <v>1235</v>
      </c>
      <c r="T54" s="9" t="s">
        <v>1085</v>
      </c>
      <c r="U54" s="9" t="s">
        <v>1236</v>
      </c>
      <c r="V54" s="9" t="s">
        <v>1113</v>
      </c>
      <c r="W54" s="13" t="s">
        <v>1237</v>
      </c>
      <c r="X54" s="13" t="s">
        <v>1238</v>
      </c>
      <c r="Y54" s="9" t="s">
        <v>45</v>
      </c>
      <c r="Z54" s="9" t="s">
        <v>1116</v>
      </c>
      <c r="AA54" s="9" t="s">
        <v>1239</v>
      </c>
      <c r="AB54" s="9" t="s">
        <v>48</v>
      </c>
      <c r="AC54" s="9" t="s">
        <v>48</v>
      </c>
      <c r="AD54" s="9" t="s">
        <v>48</v>
      </c>
      <c r="AE54" s="9" t="s">
        <v>48</v>
      </c>
    </row>
    <row r="55" spans="1:31">
      <c r="A55" s="6">
        <v>53</v>
      </c>
      <c r="B55" s="6" t="s">
        <v>1521</v>
      </c>
      <c r="C55" s="7"/>
      <c r="D55" s="8"/>
      <c r="E55" s="8"/>
      <c r="F55" s="9" t="s">
        <v>1522</v>
      </c>
      <c r="G55" s="9"/>
      <c r="H55" s="9" t="s">
        <v>76</v>
      </c>
      <c r="I55" s="9" t="s">
        <v>51</v>
      </c>
      <c r="J55" s="10" t="s">
        <v>2587</v>
      </c>
      <c r="K55" s="15" t="s">
        <v>982</v>
      </c>
      <c r="L55" s="9" t="s">
        <v>1524</v>
      </c>
      <c r="M55" s="9" t="s">
        <v>1525</v>
      </c>
      <c r="N55" s="11">
        <v>2003</v>
      </c>
      <c r="O55" s="9" t="s">
        <v>1526</v>
      </c>
      <c r="P55" s="9" t="s">
        <v>1527</v>
      </c>
      <c r="Q55" s="12" t="s">
        <v>38</v>
      </c>
      <c r="R55" s="12" t="s">
        <v>1528</v>
      </c>
      <c r="S55" s="9" t="s">
        <v>1529</v>
      </c>
      <c r="T55" s="9" t="s">
        <v>1085</v>
      </c>
      <c r="U55" s="9" t="s">
        <v>1530</v>
      </c>
      <c r="V55" s="9" t="s">
        <v>1087</v>
      </c>
      <c r="W55" s="13" t="s">
        <v>1177</v>
      </c>
      <c r="X55" s="13" t="s">
        <v>1333</v>
      </c>
      <c r="Y55" s="9" t="s">
        <v>1347</v>
      </c>
      <c r="Z55" s="9" t="s">
        <v>1531</v>
      </c>
      <c r="AA55" s="9" t="s">
        <v>1532</v>
      </c>
      <c r="AB55" s="9" t="s">
        <v>1533</v>
      </c>
      <c r="AC55" s="9" t="s">
        <v>1534</v>
      </c>
      <c r="AD55" s="9" t="s">
        <v>48</v>
      </c>
      <c r="AE55" s="9" t="s">
        <v>48</v>
      </c>
    </row>
    <row r="56" spans="1:31">
      <c r="A56" s="6">
        <v>54</v>
      </c>
      <c r="B56" s="6" t="s">
        <v>2588</v>
      </c>
      <c r="C56" s="7" t="s">
        <v>1018</v>
      </c>
      <c r="D56" s="8" t="s">
        <v>1018</v>
      </c>
      <c r="E56" s="8" t="s">
        <v>1018</v>
      </c>
      <c r="F56" s="9" t="s">
        <v>2589</v>
      </c>
      <c r="G56" s="9"/>
      <c r="H56" s="9" t="s">
        <v>1181</v>
      </c>
      <c r="I56" s="9" t="s">
        <v>51</v>
      </c>
      <c r="J56" s="10" t="s">
        <v>35</v>
      </c>
      <c r="K56" s="15" t="s">
        <v>982</v>
      </c>
      <c r="L56" s="9" t="s">
        <v>35</v>
      </c>
      <c r="M56" s="9" t="s">
        <v>984</v>
      </c>
      <c r="N56" s="11">
        <v>2006</v>
      </c>
      <c r="O56" s="10"/>
      <c r="P56" s="9"/>
      <c r="Q56" s="12" t="s">
        <v>38</v>
      </c>
      <c r="R56" s="12" t="s">
        <v>2590</v>
      </c>
      <c r="S56" s="9" t="s">
        <v>2591</v>
      </c>
      <c r="T56" s="9" t="s">
        <v>1085</v>
      </c>
      <c r="U56" s="9" t="s">
        <v>2592</v>
      </c>
      <c r="V56" s="9" t="s">
        <v>1087</v>
      </c>
      <c r="W56" s="13" t="s">
        <v>1114</v>
      </c>
      <c r="X56" s="13" t="s">
        <v>1333</v>
      </c>
      <c r="Y56" s="9" t="s">
        <v>1370</v>
      </c>
      <c r="Z56" s="9" t="s">
        <v>1335</v>
      </c>
      <c r="AA56" s="9" t="s">
        <v>2593</v>
      </c>
      <c r="AB56" s="9" t="s">
        <v>48</v>
      </c>
      <c r="AC56" s="9" t="s">
        <v>48</v>
      </c>
      <c r="AD56" s="9" t="s">
        <v>48</v>
      </c>
      <c r="AE56" s="9" t="s">
        <v>48</v>
      </c>
    </row>
    <row r="57" spans="1:31">
      <c r="A57" s="39">
        <v>55</v>
      </c>
      <c r="B57" s="39" t="s">
        <v>2594</v>
      </c>
      <c r="C57" s="101"/>
      <c r="D57" s="102"/>
      <c r="E57" s="102"/>
      <c r="F57" s="103" t="s">
        <v>2595</v>
      </c>
      <c r="G57" s="103"/>
      <c r="H57" s="103" t="s">
        <v>2393</v>
      </c>
      <c r="I57" s="103" t="s">
        <v>51</v>
      </c>
      <c r="J57" s="104" t="s">
        <v>73</v>
      </c>
      <c r="K57" s="105" t="s">
        <v>34</v>
      </c>
      <c r="L57" s="103" t="s">
        <v>1562</v>
      </c>
      <c r="M57" s="103" t="s">
        <v>1193</v>
      </c>
      <c r="N57" s="106">
        <v>2001</v>
      </c>
      <c r="O57" s="103" t="s">
        <v>48</v>
      </c>
      <c r="P57" s="103"/>
      <c r="Q57" s="107" t="s">
        <v>1453</v>
      </c>
      <c r="R57" s="107" t="s">
        <v>2596</v>
      </c>
      <c r="S57" s="103" t="s">
        <v>2597</v>
      </c>
      <c r="T57" s="103" t="s">
        <v>1085</v>
      </c>
      <c r="U57" s="103" t="s">
        <v>2598</v>
      </c>
      <c r="V57" s="103" t="s">
        <v>1827</v>
      </c>
      <c r="W57" s="108" t="s">
        <v>2599</v>
      </c>
      <c r="X57" s="108" t="s">
        <v>1089</v>
      </c>
      <c r="Y57" s="103" t="s">
        <v>1347</v>
      </c>
      <c r="Z57" s="103" t="s">
        <v>2600</v>
      </c>
      <c r="AA57" s="103" t="s">
        <v>2601</v>
      </c>
      <c r="AB57" s="103" t="s">
        <v>48</v>
      </c>
      <c r="AC57" s="103" t="s">
        <v>48</v>
      </c>
      <c r="AD57" s="103" t="s">
        <v>48</v>
      </c>
      <c r="AE57" s="103" t="s">
        <v>48</v>
      </c>
    </row>
    <row r="58" spans="1:31">
      <c r="A58" s="6">
        <v>56</v>
      </c>
      <c r="B58" s="6" t="s">
        <v>1240</v>
      </c>
      <c r="C58" s="7"/>
      <c r="D58" s="8"/>
      <c r="E58" s="8"/>
      <c r="F58" s="9" t="s">
        <v>1241</v>
      </c>
      <c r="G58" s="9"/>
      <c r="H58" s="9" t="s">
        <v>76</v>
      </c>
      <c r="I58" s="9" t="s">
        <v>32</v>
      </c>
      <c r="J58" s="10" t="s">
        <v>2602</v>
      </c>
      <c r="K58" s="15" t="s">
        <v>1243</v>
      </c>
      <c r="L58" s="9" t="s">
        <v>1230</v>
      </c>
      <c r="M58" s="9" t="s">
        <v>1231</v>
      </c>
      <c r="N58" s="11">
        <v>2012</v>
      </c>
      <c r="O58" s="9" t="s">
        <v>1244</v>
      </c>
      <c r="P58" s="10" t="s">
        <v>1245</v>
      </c>
      <c r="Q58" s="12" t="s">
        <v>38</v>
      </c>
      <c r="R58" s="12" t="s">
        <v>1246</v>
      </c>
      <c r="S58" s="9" t="s">
        <v>1247</v>
      </c>
      <c r="T58" s="9" t="s">
        <v>1085</v>
      </c>
      <c r="U58" s="9" t="s">
        <v>1248</v>
      </c>
      <c r="V58" s="9" t="s">
        <v>1249</v>
      </c>
      <c r="W58" s="13" t="s">
        <v>1250</v>
      </c>
      <c r="X58" s="13" t="s">
        <v>44</v>
      </c>
      <c r="Y58" s="9" t="s">
        <v>45</v>
      </c>
      <c r="Z58" s="9" t="s">
        <v>1251</v>
      </c>
      <c r="AA58" s="9" t="s">
        <v>1252</v>
      </c>
      <c r="AB58" s="9" t="s">
        <v>48</v>
      </c>
      <c r="AC58" s="9" t="s">
        <v>48</v>
      </c>
      <c r="AD58" s="9" t="s">
        <v>48</v>
      </c>
      <c r="AE58" s="9" t="s">
        <v>48</v>
      </c>
    </row>
    <row r="59" spans="1:31">
      <c r="A59" s="6">
        <v>57</v>
      </c>
      <c r="B59" s="6" t="s">
        <v>1881</v>
      </c>
      <c r="C59" s="27" t="s">
        <v>1882</v>
      </c>
      <c r="D59" s="28" t="s">
        <v>1883</v>
      </c>
      <c r="E59" s="8" t="s">
        <v>1884</v>
      </c>
      <c r="F59" s="9" t="s">
        <v>1885</v>
      </c>
      <c r="G59" s="9"/>
      <c r="H59" s="9" t="s">
        <v>76</v>
      </c>
      <c r="I59" s="9" t="s">
        <v>51</v>
      </c>
      <c r="J59" s="10" t="s">
        <v>2603</v>
      </c>
      <c r="K59" s="15" t="s">
        <v>982</v>
      </c>
      <c r="L59" s="9" t="s">
        <v>1230</v>
      </c>
      <c r="M59" s="9" t="s">
        <v>1231</v>
      </c>
      <c r="N59" s="11">
        <v>2007</v>
      </c>
      <c r="O59" s="9" t="s">
        <v>1888</v>
      </c>
      <c r="P59" s="9" t="s">
        <v>1889</v>
      </c>
      <c r="Q59" s="12" t="s">
        <v>1453</v>
      </c>
      <c r="R59" s="12" t="s">
        <v>1890</v>
      </c>
      <c r="S59" s="9" t="s">
        <v>1891</v>
      </c>
      <c r="T59" s="9" t="s">
        <v>1085</v>
      </c>
      <c r="U59" s="9" t="s">
        <v>1892</v>
      </c>
      <c r="V59" s="9" t="s">
        <v>1087</v>
      </c>
      <c r="W59" s="13" t="s">
        <v>1237</v>
      </c>
      <c r="X59" s="13" t="s">
        <v>1089</v>
      </c>
      <c r="Y59" s="9" t="s">
        <v>1370</v>
      </c>
      <c r="Z59" s="9" t="s">
        <v>1152</v>
      </c>
      <c r="AA59" s="9" t="s">
        <v>1893</v>
      </c>
      <c r="AB59" s="9" t="s">
        <v>48</v>
      </c>
      <c r="AC59" s="9" t="s">
        <v>48</v>
      </c>
      <c r="AD59" s="9" t="s">
        <v>48</v>
      </c>
      <c r="AE59" s="9" t="s">
        <v>48</v>
      </c>
    </row>
    <row r="60" spans="1:31">
      <c r="A60" s="6">
        <v>58</v>
      </c>
      <c r="B60" s="6" t="s">
        <v>1339</v>
      </c>
      <c r="C60" s="7"/>
      <c r="D60" s="8"/>
      <c r="E60" s="8"/>
      <c r="F60" s="9" t="s">
        <v>1340</v>
      </c>
      <c r="G60" s="9"/>
      <c r="H60" s="9" t="s">
        <v>1181</v>
      </c>
      <c r="I60" s="9" t="s">
        <v>32</v>
      </c>
      <c r="J60" s="10" t="s">
        <v>1341</v>
      </c>
      <c r="K60" s="15" t="s">
        <v>34</v>
      </c>
      <c r="L60" s="9" t="s">
        <v>35</v>
      </c>
      <c r="M60" s="9" t="s">
        <v>984</v>
      </c>
      <c r="N60" s="11">
        <v>2003</v>
      </c>
      <c r="O60" s="9"/>
      <c r="P60" s="9"/>
      <c r="Q60" s="12" t="s">
        <v>38</v>
      </c>
      <c r="R60" s="12" t="s">
        <v>1342</v>
      </c>
      <c r="S60" s="9" t="s">
        <v>1343</v>
      </c>
      <c r="T60" s="9" t="s">
        <v>1344</v>
      </c>
      <c r="U60" s="9" t="s">
        <v>1345</v>
      </c>
      <c r="V60" s="9" t="s">
        <v>1087</v>
      </c>
      <c r="W60" s="13" t="s">
        <v>1346</v>
      </c>
      <c r="X60" s="13" t="s">
        <v>1333</v>
      </c>
      <c r="Y60" s="9" t="s">
        <v>1347</v>
      </c>
      <c r="Z60" s="9" t="s">
        <v>1139</v>
      </c>
      <c r="AA60" s="9" t="s">
        <v>1348</v>
      </c>
      <c r="AB60" s="9" t="s">
        <v>48</v>
      </c>
      <c r="AC60" s="9" t="s">
        <v>48</v>
      </c>
      <c r="AD60" s="9" t="s">
        <v>48</v>
      </c>
      <c r="AE60" s="9" t="s">
        <v>48</v>
      </c>
    </row>
    <row r="61" spans="1:31">
      <c r="A61" s="109">
        <v>59</v>
      </c>
      <c r="B61" s="109" t="s">
        <v>2604</v>
      </c>
      <c r="C61" s="110"/>
      <c r="D61" s="111"/>
      <c r="E61" s="111"/>
      <c r="F61" s="112" t="s">
        <v>2605</v>
      </c>
      <c r="G61" s="112" t="s">
        <v>2398</v>
      </c>
      <c r="H61" s="112" t="s">
        <v>2399</v>
      </c>
      <c r="I61" s="112" t="s">
        <v>51</v>
      </c>
      <c r="J61" s="113" t="s">
        <v>2606</v>
      </c>
      <c r="K61" s="114"/>
      <c r="L61" s="112" t="s">
        <v>1524</v>
      </c>
      <c r="M61" s="112" t="s">
        <v>1525</v>
      </c>
      <c r="N61" s="115">
        <v>2004</v>
      </c>
      <c r="O61" s="112"/>
      <c r="P61" s="112"/>
      <c r="Q61" s="115" t="s">
        <v>1453</v>
      </c>
      <c r="R61" s="115" t="s">
        <v>2607</v>
      </c>
      <c r="S61" s="112" t="s">
        <v>2608</v>
      </c>
      <c r="T61" s="112" t="s">
        <v>1344</v>
      </c>
      <c r="U61" s="112" t="s">
        <v>2609</v>
      </c>
      <c r="V61" s="112" t="s">
        <v>1087</v>
      </c>
      <c r="W61" s="116" t="s">
        <v>2610</v>
      </c>
      <c r="X61" s="116" t="s">
        <v>1333</v>
      </c>
      <c r="Y61" s="112" t="s">
        <v>1347</v>
      </c>
      <c r="Z61" s="112" t="s">
        <v>1139</v>
      </c>
      <c r="AA61" s="112" t="s">
        <v>2611</v>
      </c>
      <c r="AB61" s="112" t="s">
        <v>48</v>
      </c>
      <c r="AC61" s="112" t="s">
        <v>48</v>
      </c>
      <c r="AD61" s="112" t="s">
        <v>48</v>
      </c>
      <c r="AE61" s="112" t="s">
        <v>48</v>
      </c>
    </row>
    <row r="62" spans="1:31" ht="30">
      <c r="A62" s="39">
        <v>60</v>
      </c>
      <c r="B62" s="39" t="s">
        <v>2612</v>
      </c>
      <c r="C62" s="101"/>
      <c r="D62" s="102"/>
      <c r="E62" s="102"/>
      <c r="F62" s="103" t="s">
        <v>2613</v>
      </c>
      <c r="G62" s="103"/>
      <c r="H62" s="103" t="s">
        <v>2393</v>
      </c>
      <c r="I62" s="103" t="s">
        <v>51</v>
      </c>
      <c r="J62" s="104" t="s">
        <v>2556</v>
      </c>
      <c r="K62" s="105" t="s">
        <v>34</v>
      </c>
      <c r="L62" s="103" t="s">
        <v>35</v>
      </c>
      <c r="M62" s="103" t="s">
        <v>984</v>
      </c>
      <c r="N62" s="106">
        <v>2004</v>
      </c>
      <c r="O62" s="103"/>
      <c r="P62" s="103"/>
      <c r="Q62" s="107" t="s">
        <v>38</v>
      </c>
      <c r="R62" s="107" t="s">
        <v>1353</v>
      </c>
      <c r="S62" s="103" t="s">
        <v>2614</v>
      </c>
      <c r="T62" s="103" t="s">
        <v>1085</v>
      </c>
      <c r="U62" s="103" t="s">
        <v>2615</v>
      </c>
      <c r="V62" s="103" t="s">
        <v>1087</v>
      </c>
      <c r="W62" s="108" t="s">
        <v>1266</v>
      </c>
      <c r="X62" s="108" t="s">
        <v>1880</v>
      </c>
      <c r="Y62" s="103" t="s">
        <v>1347</v>
      </c>
      <c r="Z62" s="103" t="s">
        <v>2616</v>
      </c>
      <c r="AA62" s="103" t="s">
        <v>2617</v>
      </c>
      <c r="AB62" s="103" t="s">
        <v>48</v>
      </c>
      <c r="AC62" s="103" t="s">
        <v>48</v>
      </c>
      <c r="AD62" s="103" t="s">
        <v>48</v>
      </c>
      <c r="AE62" s="103" t="s">
        <v>48</v>
      </c>
    </row>
    <row r="63" spans="1:31">
      <c r="A63" s="6">
        <v>61</v>
      </c>
      <c r="B63" s="6" t="s">
        <v>1349</v>
      </c>
      <c r="C63" s="7"/>
      <c r="D63" s="8"/>
      <c r="E63" s="8"/>
      <c r="F63" s="9" t="s">
        <v>1350</v>
      </c>
      <c r="G63" s="9"/>
      <c r="H63" s="9" t="s">
        <v>1181</v>
      </c>
      <c r="I63" s="9" t="s">
        <v>51</v>
      </c>
      <c r="J63" s="10" t="s">
        <v>2618</v>
      </c>
      <c r="K63" s="15" t="s">
        <v>34</v>
      </c>
      <c r="L63" s="9" t="s">
        <v>35</v>
      </c>
      <c r="M63" s="9" t="s">
        <v>1352</v>
      </c>
      <c r="N63" s="11">
        <v>2004</v>
      </c>
      <c r="O63" s="9"/>
      <c r="P63" s="10"/>
      <c r="Q63" s="12" t="s">
        <v>38</v>
      </c>
      <c r="R63" s="12" t="s">
        <v>1353</v>
      </c>
      <c r="S63" s="9" t="s">
        <v>1354</v>
      </c>
      <c r="T63" s="9" t="s">
        <v>1085</v>
      </c>
      <c r="U63" s="9" t="s">
        <v>1355</v>
      </c>
      <c r="V63" s="9" t="s">
        <v>1087</v>
      </c>
      <c r="W63" s="13" t="s">
        <v>1266</v>
      </c>
      <c r="X63" s="13" t="s">
        <v>1089</v>
      </c>
      <c r="Y63" s="9" t="s">
        <v>1347</v>
      </c>
      <c r="Z63" s="9" t="s">
        <v>1356</v>
      </c>
      <c r="AA63" s="9" t="s">
        <v>1357</v>
      </c>
      <c r="AB63" s="9" t="s">
        <v>48</v>
      </c>
      <c r="AC63" s="9" t="s">
        <v>48</v>
      </c>
      <c r="AD63" s="9" t="s">
        <v>48</v>
      </c>
      <c r="AE63" s="9" t="s">
        <v>48</v>
      </c>
    </row>
    <row r="64" spans="1:31">
      <c r="A64" s="39">
        <v>62</v>
      </c>
      <c r="B64" s="39" t="s">
        <v>2619</v>
      </c>
      <c r="C64" s="101"/>
      <c r="D64" s="102"/>
      <c r="E64" s="102"/>
      <c r="F64" s="103" t="s">
        <v>2620</v>
      </c>
      <c r="G64" s="103"/>
      <c r="H64" s="103" t="s">
        <v>2393</v>
      </c>
      <c r="I64" s="103" t="s">
        <v>51</v>
      </c>
      <c r="J64" s="104" t="s">
        <v>2621</v>
      </c>
      <c r="K64" s="105" t="s">
        <v>34</v>
      </c>
      <c r="L64" s="103" t="s">
        <v>53</v>
      </c>
      <c r="M64" s="103" t="s">
        <v>984</v>
      </c>
      <c r="N64" s="106">
        <v>2005</v>
      </c>
      <c r="O64" s="103"/>
      <c r="P64" s="103"/>
      <c r="Q64" s="107" t="s">
        <v>2100</v>
      </c>
      <c r="R64" s="107" t="s">
        <v>2622</v>
      </c>
      <c r="S64" s="103" t="s">
        <v>2623</v>
      </c>
      <c r="T64" s="103" t="s">
        <v>2624</v>
      </c>
      <c r="U64" s="103" t="s">
        <v>2625</v>
      </c>
      <c r="V64" s="103" t="s">
        <v>2626</v>
      </c>
      <c r="W64" s="108" t="s">
        <v>1385</v>
      </c>
      <c r="X64" s="108" t="s">
        <v>1089</v>
      </c>
      <c r="Y64" s="103" t="s">
        <v>1334</v>
      </c>
      <c r="Z64" s="103" t="s">
        <v>1139</v>
      </c>
      <c r="AA64" s="103" t="s">
        <v>2627</v>
      </c>
      <c r="AB64" s="103" t="s">
        <v>48</v>
      </c>
      <c r="AC64" s="103" t="s">
        <v>48</v>
      </c>
      <c r="AD64" s="103" t="s">
        <v>48</v>
      </c>
      <c r="AE64" s="103" t="s">
        <v>48</v>
      </c>
    </row>
    <row r="65" spans="1:31">
      <c r="A65" s="6">
        <v>63</v>
      </c>
      <c r="B65" s="6" t="s">
        <v>1358</v>
      </c>
      <c r="C65" s="7"/>
      <c r="D65" s="8"/>
      <c r="E65" s="8"/>
      <c r="F65" s="9" t="s">
        <v>1359</v>
      </c>
      <c r="G65" s="9"/>
      <c r="H65" s="9" t="s">
        <v>1181</v>
      </c>
      <c r="I65" s="9" t="s">
        <v>51</v>
      </c>
      <c r="J65" s="10" t="s">
        <v>35</v>
      </c>
      <c r="K65" s="15" t="s">
        <v>982</v>
      </c>
      <c r="L65" s="9" t="s">
        <v>35</v>
      </c>
      <c r="M65" s="9" t="s">
        <v>984</v>
      </c>
      <c r="N65" s="11">
        <v>2008</v>
      </c>
      <c r="O65" s="9"/>
      <c r="P65" s="10"/>
      <c r="Q65" s="12" t="s">
        <v>38</v>
      </c>
      <c r="R65" s="12" t="s">
        <v>1360</v>
      </c>
      <c r="S65" s="9" t="s">
        <v>1361</v>
      </c>
      <c r="T65" s="9" t="s">
        <v>1085</v>
      </c>
      <c r="U65" s="9" t="s">
        <v>1362</v>
      </c>
      <c r="V65" s="9" t="s">
        <v>1161</v>
      </c>
      <c r="W65" s="13" t="s">
        <v>1363</v>
      </c>
      <c r="X65" s="13" t="s">
        <v>1089</v>
      </c>
      <c r="Y65" s="9"/>
      <c r="Z65" s="9" t="s">
        <v>1152</v>
      </c>
      <c r="AA65" s="9" t="s">
        <v>1364</v>
      </c>
      <c r="AB65" s="9" t="s">
        <v>48</v>
      </c>
      <c r="AC65" s="9" t="s">
        <v>48</v>
      </c>
      <c r="AD65" s="9" t="s">
        <v>48</v>
      </c>
      <c r="AE65" s="9" t="s">
        <v>48</v>
      </c>
    </row>
    <row r="66" spans="1:31">
      <c r="A66" s="6">
        <v>64</v>
      </c>
      <c r="B66" s="6" t="s">
        <v>1179</v>
      </c>
      <c r="C66" s="7"/>
      <c r="D66" s="8"/>
      <c r="E66" s="8"/>
      <c r="F66" s="9" t="s">
        <v>1180</v>
      </c>
      <c r="G66" s="9"/>
      <c r="H66" s="9" t="s">
        <v>1181</v>
      </c>
      <c r="I66" s="9" t="s">
        <v>51</v>
      </c>
      <c r="J66" s="10" t="s">
        <v>1183</v>
      </c>
      <c r="K66" s="15" t="s">
        <v>34</v>
      </c>
      <c r="L66" s="9" t="s">
        <v>73</v>
      </c>
      <c r="M66" s="9" t="s">
        <v>1183</v>
      </c>
      <c r="N66" s="12">
        <v>2009</v>
      </c>
      <c r="O66" s="9"/>
      <c r="P66" s="9"/>
      <c r="Q66" s="12" t="s">
        <v>38</v>
      </c>
      <c r="R66" s="12" t="s">
        <v>1158</v>
      </c>
      <c r="S66" s="9" t="s">
        <v>1184</v>
      </c>
      <c r="T66" s="9" t="s">
        <v>1085</v>
      </c>
      <c r="U66" s="9" t="s">
        <v>1185</v>
      </c>
      <c r="V66" s="9" t="s">
        <v>1186</v>
      </c>
      <c r="W66" s="13" t="s">
        <v>1187</v>
      </c>
      <c r="X66" s="13" t="s">
        <v>1138</v>
      </c>
      <c r="Y66" s="9" t="s">
        <v>1188</v>
      </c>
      <c r="Z66" s="9" t="s">
        <v>1152</v>
      </c>
      <c r="AA66" s="9" t="s">
        <v>1189</v>
      </c>
      <c r="AB66" s="9" t="s">
        <v>48</v>
      </c>
      <c r="AC66" s="9" t="s">
        <v>48</v>
      </c>
      <c r="AD66" s="9" t="s">
        <v>48</v>
      </c>
      <c r="AE66" s="9" t="s">
        <v>48</v>
      </c>
    </row>
    <row r="67" spans="1:31">
      <c r="A67" s="6">
        <v>65</v>
      </c>
      <c r="B67" s="6" t="s">
        <v>1365</v>
      </c>
      <c r="C67" s="7"/>
      <c r="D67" s="8"/>
      <c r="E67" s="8"/>
      <c r="F67" s="9" t="s">
        <v>1366</v>
      </c>
      <c r="G67" s="9"/>
      <c r="H67" s="9" t="s">
        <v>1181</v>
      </c>
      <c r="I67" s="9" t="s">
        <v>51</v>
      </c>
      <c r="J67" s="10" t="s">
        <v>2628</v>
      </c>
      <c r="K67" s="15" t="s">
        <v>34</v>
      </c>
      <c r="L67" s="9" t="s">
        <v>2629</v>
      </c>
      <c r="M67" s="9" t="s">
        <v>2630</v>
      </c>
      <c r="N67" s="11">
        <v>2006</v>
      </c>
      <c r="O67" s="9"/>
      <c r="P67" s="9"/>
      <c r="Q67" s="12" t="s">
        <v>38</v>
      </c>
      <c r="R67" s="12" t="s">
        <v>1367</v>
      </c>
      <c r="S67" s="9" t="s">
        <v>1368</v>
      </c>
      <c r="T67" s="9" t="s">
        <v>1085</v>
      </c>
      <c r="U67" s="9" t="s">
        <v>1369</v>
      </c>
      <c r="V67" s="9" t="s">
        <v>1087</v>
      </c>
      <c r="W67" s="13" t="s">
        <v>1114</v>
      </c>
      <c r="X67" s="13" t="s">
        <v>1333</v>
      </c>
      <c r="Y67" s="9" t="s">
        <v>1370</v>
      </c>
      <c r="Z67" s="9" t="s">
        <v>1139</v>
      </c>
      <c r="AA67" s="9" t="s">
        <v>1371</v>
      </c>
      <c r="AB67" s="9" t="s">
        <v>48</v>
      </c>
      <c r="AC67" s="9" t="s">
        <v>48</v>
      </c>
      <c r="AD67" s="9" t="s">
        <v>48</v>
      </c>
      <c r="AE67" s="9" t="s">
        <v>48</v>
      </c>
    </row>
    <row r="68" spans="1:31">
      <c r="A68" s="39">
        <v>66</v>
      </c>
      <c r="B68" s="39" t="s">
        <v>2631</v>
      </c>
      <c r="C68" s="101"/>
      <c r="D68" s="102"/>
      <c r="E68" s="102"/>
      <c r="F68" s="103" t="s">
        <v>2632</v>
      </c>
      <c r="G68" s="103"/>
      <c r="H68" s="103" t="s">
        <v>2393</v>
      </c>
      <c r="I68" s="103" t="s">
        <v>51</v>
      </c>
      <c r="J68" s="104" t="s">
        <v>35</v>
      </c>
      <c r="K68" s="105" t="s">
        <v>34</v>
      </c>
      <c r="L68" s="103" t="s">
        <v>35</v>
      </c>
      <c r="M68" s="103" t="s">
        <v>984</v>
      </c>
      <c r="N68" s="106">
        <v>2005</v>
      </c>
      <c r="O68" s="103"/>
      <c r="P68" s="104"/>
      <c r="Q68" s="107" t="s">
        <v>38</v>
      </c>
      <c r="R68" s="107" t="s">
        <v>2633</v>
      </c>
      <c r="S68" s="103" t="s">
        <v>2634</v>
      </c>
      <c r="T68" s="103" t="s">
        <v>1085</v>
      </c>
      <c r="U68" s="103" t="s">
        <v>2635</v>
      </c>
      <c r="V68" s="103" t="s">
        <v>1087</v>
      </c>
      <c r="W68" s="108" t="s">
        <v>1114</v>
      </c>
      <c r="X68" s="108" t="s">
        <v>1333</v>
      </c>
      <c r="Y68" s="103" t="s">
        <v>1370</v>
      </c>
      <c r="Z68" s="103" t="s">
        <v>1356</v>
      </c>
      <c r="AA68" s="103" t="s">
        <v>2636</v>
      </c>
      <c r="AB68" s="103" t="s">
        <v>48</v>
      </c>
      <c r="AC68" s="103" t="s">
        <v>48</v>
      </c>
      <c r="AD68" s="103" t="s">
        <v>48</v>
      </c>
      <c r="AE68" s="103" t="s">
        <v>48</v>
      </c>
    </row>
    <row r="69" spans="1:31">
      <c r="A69" s="6">
        <v>67</v>
      </c>
      <c r="B69" s="6" t="s">
        <v>2637</v>
      </c>
      <c r="C69" s="7" t="s">
        <v>1018</v>
      </c>
      <c r="D69" s="8" t="s">
        <v>1018</v>
      </c>
      <c r="E69" s="8" t="s">
        <v>1018</v>
      </c>
      <c r="F69" s="9" t="s">
        <v>2638</v>
      </c>
      <c r="G69" s="9"/>
      <c r="H69" s="9" t="s">
        <v>1181</v>
      </c>
      <c r="I69" s="9" t="s">
        <v>51</v>
      </c>
      <c r="J69" s="10" t="s">
        <v>35</v>
      </c>
      <c r="K69" s="15" t="s">
        <v>982</v>
      </c>
      <c r="L69" s="9" t="s">
        <v>35</v>
      </c>
      <c r="M69" s="9" t="s">
        <v>984</v>
      </c>
      <c r="N69" s="11">
        <v>2005</v>
      </c>
      <c r="O69" s="9"/>
      <c r="P69" s="9"/>
      <c r="Q69" s="12" t="s">
        <v>38</v>
      </c>
      <c r="R69" s="12" t="s">
        <v>2639</v>
      </c>
      <c r="S69" s="9" t="s">
        <v>2640</v>
      </c>
      <c r="T69" s="9" t="s">
        <v>1085</v>
      </c>
      <c r="U69" s="9" t="s">
        <v>2641</v>
      </c>
      <c r="V69" s="9" t="s">
        <v>1087</v>
      </c>
      <c r="W69" s="13" t="s">
        <v>1114</v>
      </c>
      <c r="X69" s="13" t="s">
        <v>1333</v>
      </c>
      <c r="Y69" s="9" t="s">
        <v>1370</v>
      </c>
      <c r="Z69" s="9" t="s">
        <v>1139</v>
      </c>
      <c r="AA69" s="9" t="s">
        <v>2642</v>
      </c>
      <c r="AB69" s="9" t="s">
        <v>48</v>
      </c>
      <c r="AC69" s="9" t="s">
        <v>48</v>
      </c>
      <c r="AD69" s="9" t="s">
        <v>48</v>
      </c>
      <c r="AE69" s="9" t="s">
        <v>48</v>
      </c>
    </row>
    <row r="70" spans="1:31">
      <c r="A70" s="39">
        <v>68</v>
      </c>
      <c r="B70" s="39" t="s">
        <v>2643</v>
      </c>
      <c r="C70" s="101"/>
      <c r="D70" s="102"/>
      <c r="E70" s="102"/>
      <c r="F70" s="103" t="s">
        <v>2644</v>
      </c>
      <c r="G70" s="103"/>
      <c r="H70" s="103" t="s">
        <v>2393</v>
      </c>
      <c r="I70" s="103" t="s">
        <v>51</v>
      </c>
      <c r="J70" s="104" t="s">
        <v>35</v>
      </c>
      <c r="K70" s="105" t="s">
        <v>34</v>
      </c>
      <c r="L70" s="103" t="s">
        <v>35</v>
      </c>
      <c r="M70" s="103" t="s">
        <v>984</v>
      </c>
      <c r="N70" s="106">
        <v>2007</v>
      </c>
      <c r="O70" s="103"/>
      <c r="P70" s="103"/>
      <c r="Q70" s="107" t="s">
        <v>38</v>
      </c>
      <c r="R70" s="107" t="s">
        <v>2645</v>
      </c>
      <c r="S70" s="103" t="s">
        <v>2646</v>
      </c>
      <c r="T70" s="103" t="s">
        <v>1085</v>
      </c>
      <c r="U70" s="103" t="s">
        <v>2647</v>
      </c>
      <c r="V70" s="103" t="s">
        <v>1149</v>
      </c>
      <c r="W70" s="108" t="s">
        <v>1114</v>
      </c>
      <c r="X70" s="108" t="s">
        <v>1089</v>
      </c>
      <c r="Y70" s="103" t="s">
        <v>1370</v>
      </c>
      <c r="Z70" s="103" t="s">
        <v>1335</v>
      </c>
      <c r="AA70" s="103" t="s">
        <v>2648</v>
      </c>
      <c r="AB70" s="103" t="s">
        <v>48</v>
      </c>
      <c r="AC70" s="103" t="s">
        <v>48</v>
      </c>
      <c r="AD70" s="103" t="s">
        <v>48</v>
      </c>
      <c r="AE70" s="103" t="s">
        <v>48</v>
      </c>
    </row>
    <row r="71" spans="1:31">
      <c r="A71" s="6">
        <v>69</v>
      </c>
      <c r="B71" s="6" t="s">
        <v>977</v>
      </c>
      <c r="C71" s="6" t="s">
        <v>978</v>
      </c>
      <c r="D71" s="16">
        <v>9</v>
      </c>
      <c r="E71" s="16" t="s">
        <v>979</v>
      </c>
      <c r="F71" s="9" t="s">
        <v>980</v>
      </c>
      <c r="G71" s="9"/>
      <c r="H71" s="9" t="s">
        <v>76</v>
      </c>
      <c r="I71" s="9" t="s">
        <v>51</v>
      </c>
      <c r="J71" s="10" t="s">
        <v>981</v>
      </c>
      <c r="K71" s="15" t="s">
        <v>982</v>
      </c>
      <c r="L71" s="9" t="s">
        <v>983</v>
      </c>
      <c r="M71" s="9" t="s">
        <v>984</v>
      </c>
      <c r="N71" s="11">
        <v>2013</v>
      </c>
      <c r="O71" s="9" t="s">
        <v>985</v>
      </c>
      <c r="P71" s="9" t="s">
        <v>986</v>
      </c>
      <c r="Q71" s="12" t="s">
        <v>38</v>
      </c>
      <c r="R71" s="12" t="s">
        <v>987</v>
      </c>
      <c r="S71" s="9" t="s">
        <v>988</v>
      </c>
      <c r="T71" s="9" t="s">
        <v>989</v>
      </c>
      <c r="U71" s="9" t="s">
        <v>990</v>
      </c>
      <c r="V71" s="9" t="s">
        <v>991</v>
      </c>
      <c r="W71" s="13" t="s">
        <v>992</v>
      </c>
      <c r="X71" s="13" t="s">
        <v>44</v>
      </c>
      <c r="Y71" s="9" t="s">
        <v>993</v>
      </c>
      <c r="Z71" s="9" t="s">
        <v>46</v>
      </c>
      <c r="AA71" s="9" t="s">
        <v>994</v>
      </c>
      <c r="AB71" s="9" t="s">
        <v>48</v>
      </c>
      <c r="AC71" s="9" t="s">
        <v>48</v>
      </c>
      <c r="AD71" s="9" t="s">
        <v>48</v>
      </c>
      <c r="AE71" s="9" t="s">
        <v>48</v>
      </c>
    </row>
    <row r="72" spans="1:31">
      <c r="A72" s="6">
        <v>70</v>
      </c>
      <c r="B72" s="6" t="s">
        <v>2233</v>
      </c>
      <c r="C72" s="7"/>
      <c r="D72" s="8"/>
      <c r="E72" s="8"/>
      <c r="F72" s="9" t="s">
        <v>2234</v>
      </c>
      <c r="G72" s="9"/>
      <c r="H72" s="9" t="s">
        <v>76</v>
      </c>
      <c r="I72" s="9" t="s">
        <v>32</v>
      </c>
      <c r="J72" s="10" t="s">
        <v>2226</v>
      </c>
      <c r="K72" s="15" t="s">
        <v>34</v>
      </c>
      <c r="L72" s="9" t="s">
        <v>91</v>
      </c>
      <c r="M72" s="9" t="s">
        <v>2017</v>
      </c>
      <c r="N72" s="11">
        <v>2008</v>
      </c>
      <c r="O72" s="9"/>
      <c r="P72" s="9"/>
      <c r="Q72" s="12" t="s">
        <v>2100</v>
      </c>
      <c r="R72" s="12" t="s">
        <v>2235</v>
      </c>
      <c r="S72" s="9" t="s">
        <v>2236</v>
      </c>
      <c r="T72" s="9" t="s">
        <v>1085</v>
      </c>
      <c r="U72" s="9" t="s">
        <v>2237</v>
      </c>
      <c r="V72" s="9" t="s">
        <v>2238</v>
      </c>
      <c r="W72" s="13" t="s">
        <v>2239</v>
      </c>
      <c r="X72" s="13" t="s">
        <v>2240</v>
      </c>
      <c r="Y72" s="9" t="s">
        <v>1151</v>
      </c>
      <c r="Z72" s="9" t="s">
        <v>1152</v>
      </c>
      <c r="AA72" s="9" t="s">
        <v>2241</v>
      </c>
      <c r="AB72" s="9" t="s">
        <v>48</v>
      </c>
      <c r="AC72" s="9" t="s">
        <v>48</v>
      </c>
      <c r="AD72" s="9" t="s">
        <v>48</v>
      </c>
      <c r="AE72" s="9" t="s">
        <v>48</v>
      </c>
    </row>
    <row r="73" spans="1:31">
      <c r="A73" s="6">
        <v>71</v>
      </c>
      <c r="B73" s="6" t="s">
        <v>1141</v>
      </c>
      <c r="C73" s="7"/>
      <c r="D73" s="8"/>
      <c r="E73" s="8"/>
      <c r="F73" s="9" t="s">
        <v>1142</v>
      </c>
      <c r="G73" s="9"/>
      <c r="H73" s="9" t="s">
        <v>76</v>
      </c>
      <c r="I73" s="9" t="s">
        <v>51</v>
      </c>
      <c r="J73" s="10" t="s">
        <v>2226</v>
      </c>
      <c r="K73" s="15" t="s">
        <v>34</v>
      </c>
      <c r="L73" s="9" t="s">
        <v>1132</v>
      </c>
      <c r="M73" s="9" t="s">
        <v>1133</v>
      </c>
      <c r="N73" s="11">
        <v>2008</v>
      </c>
      <c r="O73" s="9" t="s">
        <v>1144</v>
      </c>
      <c r="P73" s="9" t="s">
        <v>1145</v>
      </c>
      <c r="Q73" s="12" t="s">
        <v>38</v>
      </c>
      <c r="R73" s="12" t="s">
        <v>1146</v>
      </c>
      <c r="S73" s="9" t="s">
        <v>1147</v>
      </c>
      <c r="T73" s="9" t="s">
        <v>1085</v>
      </c>
      <c r="U73" s="9" t="s">
        <v>1148</v>
      </c>
      <c r="V73" s="9" t="s">
        <v>1149</v>
      </c>
      <c r="W73" s="13" t="s">
        <v>1150</v>
      </c>
      <c r="X73" s="13" t="s">
        <v>1138</v>
      </c>
      <c r="Y73" s="9" t="s">
        <v>1151</v>
      </c>
      <c r="Z73" s="9" t="s">
        <v>1152</v>
      </c>
      <c r="AA73" s="9" t="s">
        <v>1153</v>
      </c>
      <c r="AB73" s="9" t="s">
        <v>48</v>
      </c>
      <c r="AC73" s="9" t="s">
        <v>48</v>
      </c>
      <c r="AD73" s="9" t="s">
        <v>48</v>
      </c>
      <c r="AE73" s="9" t="s">
        <v>48</v>
      </c>
    </row>
    <row r="74" spans="1:31">
      <c r="A74" s="6">
        <v>72</v>
      </c>
      <c r="B74" s="6" t="s">
        <v>2649</v>
      </c>
      <c r="C74" s="7"/>
      <c r="D74" s="8"/>
      <c r="E74" s="8"/>
      <c r="F74" s="9" t="s">
        <v>2650</v>
      </c>
      <c r="G74" s="9"/>
      <c r="H74" s="9" t="s">
        <v>1181</v>
      </c>
      <c r="I74" s="9" t="s">
        <v>51</v>
      </c>
      <c r="J74" s="10" t="s">
        <v>35</v>
      </c>
      <c r="K74" s="15" t="s">
        <v>34</v>
      </c>
      <c r="L74" s="9" t="s">
        <v>35</v>
      </c>
      <c r="M74" s="9" t="s">
        <v>984</v>
      </c>
      <c r="N74" s="11">
        <v>2006</v>
      </c>
      <c r="O74" s="9"/>
      <c r="P74" s="9"/>
      <c r="Q74" s="12" t="s">
        <v>56</v>
      </c>
      <c r="R74" s="12" t="s">
        <v>1083</v>
      </c>
      <c r="S74" s="9" t="s">
        <v>2651</v>
      </c>
      <c r="T74" s="9" t="s">
        <v>1085</v>
      </c>
      <c r="U74" s="9" t="s">
        <v>2652</v>
      </c>
      <c r="V74" s="9" t="s">
        <v>1087</v>
      </c>
      <c r="W74" s="13" t="s">
        <v>2653</v>
      </c>
      <c r="X74" s="13" t="s">
        <v>1089</v>
      </c>
      <c r="Y74" s="9" t="s">
        <v>1370</v>
      </c>
      <c r="Z74" s="9" t="s">
        <v>1139</v>
      </c>
      <c r="AA74" s="9" t="s">
        <v>2654</v>
      </c>
      <c r="AB74" s="9" t="s">
        <v>48</v>
      </c>
      <c r="AC74" s="9" t="s">
        <v>48</v>
      </c>
      <c r="AD74" s="9" t="s">
        <v>48</v>
      </c>
      <c r="AE74" s="9" t="s">
        <v>48</v>
      </c>
    </row>
    <row r="75" spans="1:31">
      <c r="A75" s="39">
        <v>73</v>
      </c>
      <c r="B75" s="39" t="s">
        <v>2655</v>
      </c>
      <c r="C75" s="101"/>
      <c r="D75" s="102"/>
      <c r="E75" s="102"/>
      <c r="F75" s="103" t="s">
        <v>2656</v>
      </c>
      <c r="G75" s="103"/>
      <c r="H75" s="103" t="s">
        <v>2393</v>
      </c>
      <c r="I75" s="103" t="s">
        <v>51</v>
      </c>
      <c r="J75" s="104" t="s">
        <v>35</v>
      </c>
      <c r="K75" s="105" t="s">
        <v>34</v>
      </c>
      <c r="L75" s="103" t="s">
        <v>35</v>
      </c>
      <c r="M75" s="103" t="s">
        <v>984</v>
      </c>
      <c r="N75" s="106">
        <v>2006</v>
      </c>
      <c r="O75" s="103"/>
      <c r="P75" s="103"/>
      <c r="Q75" s="107" t="s">
        <v>56</v>
      </c>
      <c r="R75" s="107" t="s">
        <v>1083</v>
      </c>
      <c r="S75" s="103" t="s">
        <v>2657</v>
      </c>
      <c r="T75" s="103" t="s">
        <v>1085</v>
      </c>
      <c r="U75" s="103" t="s">
        <v>2658</v>
      </c>
      <c r="V75" s="103" t="s">
        <v>1087</v>
      </c>
      <c r="W75" s="108" t="s">
        <v>1114</v>
      </c>
      <c r="X75" s="108" t="s">
        <v>2659</v>
      </c>
      <c r="Y75" s="103" t="s">
        <v>1370</v>
      </c>
      <c r="Z75" s="103" t="s">
        <v>1139</v>
      </c>
      <c r="AA75" s="103" t="s">
        <v>2660</v>
      </c>
      <c r="AB75" s="103" t="s">
        <v>48</v>
      </c>
      <c r="AC75" s="103" t="s">
        <v>48</v>
      </c>
      <c r="AD75" s="103" t="s">
        <v>48</v>
      </c>
      <c r="AE75" s="103" t="s">
        <v>48</v>
      </c>
    </row>
    <row r="76" spans="1:31">
      <c r="A76" s="6">
        <v>74</v>
      </c>
      <c r="B76" s="6" t="s">
        <v>1894</v>
      </c>
      <c r="C76" s="7"/>
      <c r="D76" s="8"/>
      <c r="E76" s="8"/>
      <c r="F76" s="9" t="s">
        <v>1895</v>
      </c>
      <c r="G76" s="9"/>
      <c r="H76" s="9" t="s">
        <v>1181</v>
      </c>
      <c r="I76" s="9" t="s">
        <v>51</v>
      </c>
      <c r="J76" s="10" t="s">
        <v>1896</v>
      </c>
      <c r="K76" s="15" t="s">
        <v>34</v>
      </c>
      <c r="L76" s="9" t="s">
        <v>79</v>
      </c>
      <c r="M76" s="9" t="s">
        <v>1875</v>
      </c>
      <c r="N76" s="11">
        <v>2008</v>
      </c>
      <c r="O76" s="9"/>
      <c r="P76" s="9"/>
      <c r="Q76" s="12" t="s">
        <v>38</v>
      </c>
      <c r="R76" s="12" t="s">
        <v>1146</v>
      </c>
      <c r="S76" s="9" t="s">
        <v>1897</v>
      </c>
      <c r="T76" s="9" t="s">
        <v>1085</v>
      </c>
      <c r="U76" s="9" t="s">
        <v>1898</v>
      </c>
      <c r="V76" s="9" t="s">
        <v>1149</v>
      </c>
      <c r="W76" s="13" t="s">
        <v>1150</v>
      </c>
      <c r="X76" s="13" t="s">
        <v>1138</v>
      </c>
      <c r="Y76" s="9" t="s">
        <v>1151</v>
      </c>
      <c r="Z76" s="9" t="s">
        <v>1152</v>
      </c>
      <c r="AA76" s="9" t="s">
        <v>1899</v>
      </c>
      <c r="AB76" s="9" t="s">
        <v>48</v>
      </c>
      <c r="AC76" s="9" t="s">
        <v>48</v>
      </c>
      <c r="AD76" s="9" t="s">
        <v>48</v>
      </c>
      <c r="AE76" s="9" t="s">
        <v>48</v>
      </c>
    </row>
    <row r="77" spans="1:31">
      <c r="A77" s="39">
        <v>75</v>
      </c>
      <c r="B77" s="39" t="s">
        <v>2661</v>
      </c>
      <c r="C77" s="101"/>
      <c r="D77" s="102"/>
      <c r="E77" s="102"/>
      <c r="F77" s="103" t="s">
        <v>2662</v>
      </c>
      <c r="G77" s="103"/>
      <c r="H77" s="103" t="s">
        <v>2393</v>
      </c>
      <c r="I77" s="103" t="s">
        <v>51</v>
      </c>
      <c r="J77" s="104" t="s">
        <v>35</v>
      </c>
      <c r="K77" s="105" t="s">
        <v>34</v>
      </c>
      <c r="L77" s="103" t="s">
        <v>35</v>
      </c>
      <c r="M77" s="103" t="s">
        <v>984</v>
      </c>
      <c r="N77" s="106">
        <v>2008</v>
      </c>
      <c r="O77" s="103"/>
      <c r="P77" s="103"/>
      <c r="Q77" s="107" t="s">
        <v>38</v>
      </c>
      <c r="R77" s="107" t="s">
        <v>1360</v>
      </c>
      <c r="S77" s="103" t="s">
        <v>2663</v>
      </c>
      <c r="T77" s="103" t="s">
        <v>1085</v>
      </c>
      <c r="U77" s="103" t="s">
        <v>2664</v>
      </c>
      <c r="V77" s="103" t="s">
        <v>1149</v>
      </c>
      <c r="W77" s="108" t="s">
        <v>1363</v>
      </c>
      <c r="X77" s="108" t="s">
        <v>1138</v>
      </c>
      <c r="Y77" s="103" t="s">
        <v>1370</v>
      </c>
      <c r="Z77" s="103" t="s">
        <v>1152</v>
      </c>
      <c r="AA77" s="103" t="s">
        <v>2665</v>
      </c>
      <c r="AB77" s="103" t="s">
        <v>48</v>
      </c>
      <c r="AC77" s="103" t="s">
        <v>48</v>
      </c>
      <c r="AD77" s="103" t="s">
        <v>48</v>
      </c>
      <c r="AE77" s="103" t="s">
        <v>48</v>
      </c>
    </row>
    <row r="78" spans="1:31">
      <c r="A78" s="39">
        <v>76</v>
      </c>
      <c r="B78" s="39" t="s">
        <v>2666</v>
      </c>
      <c r="C78" s="101"/>
      <c r="D78" s="102"/>
      <c r="E78" s="102"/>
      <c r="F78" s="103" t="s">
        <v>2667</v>
      </c>
      <c r="G78" s="103"/>
      <c r="H78" s="103" t="s">
        <v>2393</v>
      </c>
      <c r="I78" s="103" t="s">
        <v>51</v>
      </c>
      <c r="J78" s="104" t="s">
        <v>35</v>
      </c>
      <c r="K78" s="105" t="s">
        <v>34</v>
      </c>
      <c r="L78" s="103" t="s">
        <v>35</v>
      </c>
      <c r="M78" s="103" t="s">
        <v>984</v>
      </c>
      <c r="N78" s="106">
        <v>2008</v>
      </c>
      <c r="O78" s="103"/>
      <c r="P78" s="103"/>
      <c r="Q78" s="107" t="s">
        <v>38</v>
      </c>
      <c r="R78" s="107" t="s">
        <v>1360</v>
      </c>
      <c r="S78" s="103" t="s">
        <v>2668</v>
      </c>
      <c r="T78" s="103" t="s">
        <v>1085</v>
      </c>
      <c r="U78" s="103" t="s">
        <v>2669</v>
      </c>
      <c r="V78" s="103" t="s">
        <v>1149</v>
      </c>
      <c r="W78" s="108" t="s">
        <v>1363</v>
      </c>
      <c r="X78" s="108" t="s">
        <v>1089</v>
      </c>
      <c r="Y78" s="103" t="s">
        <v>1370</v>
      </c>
      <c r="Z78" s="103" t="s">
        <v>1152</v>
      </c>
      <c r="AA78" s="103" t="s">
        <v>2670</v>
      </c>
      <c r="AB78" s="103" t="s">
        <v>48</v>
      </c>
      <c r="AC78" s="103" t="s">
        <v>48</v>
      </c>
      <c r="AD78" s="103" t="s">
        <v>48</v>
      </c>
      <c r="AE78" s="103" t="s">
        <v>48</v>
      </c>
    </row>
    <row r="79" spans="1:31">
      <c r="A79" s="39">
        <v>77</v>
      </c>
      <c r="B79" s="39" t="s">
        <v>2671</v>
      </c>
      <c r="C79" s="101"/>
      <c r="D79" s="102"/>
      <c r="E79" s="102"/>
      <c r="F79" s="103" t="s">
        <v>2672</v>
      </c>
      <c r="G79" s="103"/>
      <c r="H79" s="103" t="s">
        <v>2393</v>
      </c>
      <c r="I79" s="103" t="s">
        <v>51</v>
      </c>
      <c r="J79" s="104" t="s">
        <v>35</v>
      </c>
      <c r="K79" s="105" t="s">
        <v>34</v>
      </c>
      <c r="L79" s="103" t="s">
        <v>35</v>
      </c>
      <c r="M79" s="103" t="s">
        <v>984</v>
      </c>
      <c r="N79" s="106">
        <v>2007</v>
      </c>
      <c r="O79" s="103"/>
      <c r="P79" s="104"/>
      <c r="Q79" s="107" t="s">
        <v>1383</v>
      </c>
      <c r="R79" s="107" t="s">
        <v>2673</v>
      </c>
      <c r="S79" s="103">
        <v>269505</v>
      </c>
      <c r="T79" s="103" t="s">
        <v>1085</v>
      </c>
      <c r="U79" s="103" t="s">
        <v>2674</v>
      </c>
      <c r="V79" s="103" t="s">
        <v>1840</v>
      </c>
      <c r="W79" s="108" t="s">
        <v>1385</v>
      </c>
      <c r="X79" s="108" t="s">
        <v>1089</v>
      </c>
      <c r="Y79" s="103" t="s">
        <v>1370</v>
      </c>
      <c r="Z79" s="103" t="s">
        <v>1152</v>
      </c>
      <c r="AA79" s="103" t="s">
        <v>2675</v>
      </c>
      <c r="AB79" s="103" t="s">
        <v>48</v>
      </c>
      <c r="AC79" s="103" t="s">
        <v>48</v>
      </c>
      <c r="AD79" s="103" t="s">
        <v>48</v>
      </c>
      <c r="AE79" s="103" t="s">
        <v>48</v>
      </c>
    </row>
    <row r="80" spans="1:31">
      <c r="A80" s="39">
        <v>78</v>
      </c>
      <c r="B80" s="39" t="s">
        <v>2676</v>
      </c>
      <c r="C80" s="101"/>
      <c r="D80" s="102"/>
      <c r="E80" s="102"/>
      <c r="F80" s="103" t="s">
        <v>2677</v>
      </c>
      <c r="G80" s="103"/>
      <c r="H80" s="103" t="s">
        <v>2393</v>
      </c>
      <c r="I80" s="103" t="s">
        <v>32</v>
      </c>
      <c r="J80" s="104" t="s">
        <v>2678</v>
      </c>
      <c r="K80" s="105" t="s">
        <v>34</v>
      </c>
      <c r="L80" s="103" t="s">
        <v>35</v>
      </c>
      <c r="M80" s="103" t="s">
        <v>984</v>
      </c>
      <c r="N80" s="106">
        <v>2008</v>
      </c>
      <c r="O80" s="103" t="s">
        <v>2679</v>
      </c>
      <c r="P80" s="103"/>
      <c r="Q80" s="107" t="s">
        <v>38</v>
      </c>
      <c r="R80" s="107" t="s">
        <v>2680</v>
      </c>
      <c r="S80" s="103" t="s">
        <v>2681</v>
      </c>
      <c r="T80" s="103" t="s">
        <v>1085</v>
      </c>
      <c r="U80" s="103" t="s">
        <v>2682</v>
      </c>
      <c r="V80" s="103" t="s">
        <v>2238</v>
      </c>
      <c r="W80" s="108" t="s">
        <v>1363</v>
      </c>
      <c r="X80" s="108" t="s">
        <v>1138</v>
      </c>
      <c r="Y80" s="103" t="s">
        <v>1151</v>
      </c>
      <c r="Z80" s="103" t="s">
        <v>1152</v>
      </c>
      <c r="AA80" s="103" t="s">
        <v>2683</v>
      </c>
      <c r="AB80" s="103" t="s">
        <v>48</v>
      </c>
      <c r="AC80" s="103" t="s">
        <v>48</v>
      </c>
      <c r="AD80" s="103" t="s">
        <v>48</v>
      </c>
      <c r="AE80" s="103" t="s">
        <v>48</v>
      </c>
    </row>
    <row r="81" spans="1:31">
      <c r="A81" s="6">
        <v>79</v>
      </c>
      <c r="B81" s="6" t="s">
        <v>1292</v>
      </c>
      <c r="C81" s="7"/>
      <c r="D81" s="8"/>
      <c r="E81" s="8"/>
      <c r="F81" s="9" t="s">
        <v>1293</v>
      </c>
      <c r="G81" s="9"/>
      <c r="H81" s="9" t="s">
        <v>76</v>
      </c>
      <c r="I81" s="9" t="s">
        <v>51</v>
      </c>
      <c r="J81" s="10" t="s">
        <v>2684</v>
      </c>
      <c r="K81" s="15" t="s">
        <v>34</v>
      </c>
      <c r="L81" s="9" t="s">
        <v>1659</v>
      </c>
      <c r="M81" s="9" t="s">
        <v>2685</v>
      </c>
      <c r="N81" s="11">
        <v>2009</v>
      </c>
      <c r="O81" s="9" t="s">
        <v>1295</v>
      </c>
      <c r="P81" s="9" t="s">
        <v>1296</v>
      </c>
      <c r="Q81" s="12" t="s">
        <v>38</v>
      </c>
      <c r="R81" s="12" t="s">
        <v>1158</v>
      </c>
      <c r="S81" s="9" t="s">
        <v>1297</v>
      </c>
      <c r="T81" s="9" t="s">
        <v>1085</v>
      </c>
      <c r="U81" s="9" t="s">
        <v>1298</v>
      </c>
      <c r="V81" s="9" t="s">
        <v>1161</v>
      </c>
      <c r="W81" s="13" t="s">
        <v>1162</v>
      </c>
      <c r="X81" s="13" t="s">
        <v>1138</v>
      </c>
      <c r="Y81" s="9" t="s">
        <v>1163</v>
      </c>
      <c r="Z81" s="9" t="s">
        <v>1152</v>
      </c>
      <c r="AA81" s="9" t="s">
        <v>1299</v>
      </c>
      <c r="AB81" s="9" t="s">
        <v>48</v>
      </c>
      <c r="AC81" s="9" t="s">
        <v>48</v>
      </c>
      <c r="AD81" s="9" t="s">
        <v>48</v>
      </c>
      <c r="AE81" s="9" t="s">
        <v>48</v>
      </c>
    </row>
    <row r="82" spans="1:31">
      <c r="A82" s="6">
        <v>80</v>
      </c>
      <c r="B82" s="6" t="s">
        <v>2302</v>
      </c>
      <c r="C82" s="7"/>
      <c r="D82" s="8"/>
      <c r="E82" s="8"/>
      <c r="F82" s="9" t="s">
        <v>2303</v>
      </c>
      <c r="G82" s="9"/>
      <c r="H82" s="9" t="s">
        <v>76</v>
      </c>
      <c r="I82" s="9" t="s">
        <v>51</v>
      </c>
      <c r="J82" s="10" t="s">
        <v>481</v>
      </c>
      <c r="K82" s="15" t="s">
        <v>34</v>
      </c>
      <c r="L82" s="9" t="s">
        <v>181</v>
      </c>
      <c r="M82" s="9" t="s">
        <v>1389</v>
      </c>
      <c r="N82" s="11">
        <v>2006</v>
      </c>
      <c r="O82" s="9" t="s">
        <v>2304</v>
      </c>
      <c r="P82" s="9" t="s">
        <v>2305</v>
      </c>
      <c r="Q82" s="12" t="s">
        <v>1001</v>
      </c>
      <c r="R82" s="12" t="s">
        <v>1194</v>
      </c>
      <c r="S82" s="9" t="s">
        <v>2306</v>
      </c>
      <c r="T82" s="9" t="s">
        <v>1085</v>
      </c>
      <c r="U82" s="9" t="s">
        <v>2307</v>
      </c>
      <c r="V82" s="9" t="s">
        <v>1161</v>
      </c>
      <c r="W82" s="13" t="s">
        <v>1162</v>
      </c>
      <c r="X82" s="13" t="s">
        <v>1138</v>
      </c>
      <c r="Y82" s="9" t="s">
        <v>1163</v>
      </c>
      <c r="Z82" s="9" t="s">
        <v>1152</v>
      </c>
      <c r="AA82" s="9" t="s">
        <v>2308</v>
      </c>
      <c r="AB82" s="9" t="s">
        <v>48</v>
      </c>
      <c r="AC82" s="9" t="s">
        <v>48</v>
      </c>
      <c r="AD82" s="9" t="s">
        <v>48</v>
      </c>
      <c r="AE82" s="9" t="s">
        <v>48</v>
      </c>
    </row>
    <row r="83" spans="1:31">
      <c r="A83" s="6">
        <v>81</v>
      </c>
      <c r="B83" s="6" t="s">
        <v>1372</v>
      </c>
      <c r="C83" s="7"/>
      <c r="D83" s="8"/>
      <c r="E83" s="8"/>
      <c r="F83" s="9" t="s">
        <v>1373</v>
      </c>
      <c r="G83" s="9"/>
      <c r="H83" s="9" t="s">
        <v>1181</v>
      </c>
      <c r="I83" s="9" t="s">
        <v>51</v>
      </c>
      <c r="J83" s="10" t="s">
        <v>2686</v>
      </c>
      <c r="K83" s="15" t="s">
        <v>1374</v>
      </c>
      <c r="L83" s="9" t="s">
        <v>35</v>
      </c>
      <c r="M83" s="9" t="s">
        <v>984</v>
      </c>
      <c r="N83" s="11">
        <v>2009</v>
      </c>
      <c r="O83" s="9"/>
      <c r="P83" s="9"/>
      <c r="Q83" s="12" t="s">
        <v>38</v>
      </c>
      <c r="R83" s="12" t="s">
        <v>1194</v>
      </c>
      <c r="S83" s="9" t="s">
        <v>1375</v>
      </c>
      <c r="T83" s="9" t="s">
        <v>1085</v>
      </c>
      <c r="U83" s="9" t="s">
        <v>1376</v>
      </c>
      <c r="V83" s="9" t="s">
        <v>1161</v>
      </c>
      <c r="W83" s="13" t="s">
        <v>1162</v>
      </c>
      <c r="X83" s="13" t="s">
        <v>1138</v>
      </c>
      <c r="Y83" s="9" t="s">
        <v>1163</v>
      </c>
      <c r="Z83" s="9" t="s">
        <v>1152</v>
      </c>
      <c r="AA83" s="9" t="s">
        <v>1377</v>
      </c>
      <c r="AB83" s="9" t="s">
        <v>48</v>
      </c>
      <c r="AC83" s="9" t="s">
        <v>48</v>
      </c>
      <c r="AD83" s="9" t="s">
        <v>48</v>
      </c>
      <c r="AE83" s="9" t="s">
        <v>48</v>
      </c>
    </row>
    <row r="84" spans="1:31">
      <c r="A84" s="6">
        <v>82</v>
      </c>
      <c r="B84" s="6" t="s">
        <v>1190</v>
      </c>
      <c r="C84" s="7"/>
      <c r="D84" s="8"/>
      <c r="E84" s="8"/>
      <c r="F84" s="9" t="s">
        <v>1191</v>
      </c>
      <c r="G84" s="9"/>
      <c r="H84" s="9" t="s">
        <v>76</v>
      </c>
      <c r="I84" s="9" t="s">
        <v>51</v>
      </c>
      <c r="J84" s="10" t="s">
        <v>1192</v>
      </c>
      <c r="K84" s="15" t="s">
        <v>982</v>
      </c>
      <c r="L84" s="9" t="s">
        <v>73</v>
      </c>
      <c r="M84" s="9" t="s">
        <v>1193</v>
      </c>
      <c r="N84" s="11">
        <v>2009</v>
      </c>
      <c r="O84" s="10"/>
      <c r="P84" s="9"/>
      <c r="Q84" s="12" t="s">
        <v>38</v>
      </c>
      <c r="R84" s="12" t="s">
        <v>1194</v>
      </c>
      <c r="S84" s="9" t="s">
        <v>1195</v>
      </c>
      <c r="T84" s="9" t="s">
        <v>1085</v>
      </c>
      <c r="U84" s="9" t="s">
        <v>1196</v>
      </c>
      <c r="V84" s="9" t="s">
        <v>1161</v>
      </c>
      <c r="W84" s="13" t="s">
        <v>1162</v>
      </c>
      <c r="X84" s="13" t="s">
        <v>1138</v>
      </c>
      <c r="Y84" s="9" t="s">
        <v>1163</v>
      </c>
      <c r="Z84" s="9" t="s">
        <v>1152</v>
      </c>
      <c r="AA84" s="9" t="s">
        <v>1197</v>
      </c>
      <c r="AB84" s="9" t="s">
        <v>48</v>
      </c>
      <c r="AC84" s="9" t="s">
        <v>48</v>
      </c>
      <c r="AD84" s="9" t="s">
        <v>48</v>
      </c>
      <c r="AE84" s="9" t="s">
        <v>48</v>
      </c>
    </row>
    <row r="85" spans="1:31">
      <c r="A85" s="6">
        <v>83</v>
      </c>
      <c r="B85" s="6" t="s">
        <v>1253</v>
      </c>
      <c r="C85" s="6" t="s">
        <v>1226</v>
      </c>
      <c r="D85" s="16">
        <v>30</v>
      </c>
      <c r="E85" s="16" t="s">
        <v>1227</v>
      </c>
      <c r="F85" s="9" t="s">
        <v>1254</v>
      </c>
      <c r="G85" s="9"/>
      <c r="H85" s="9" t="s">
        <v>76</v>
      </c>
      <c r="I85" s="9" t="s">
        <v>51</v>
      </c>
      <c r="J85" s="10" t="s">
        <v>2602</v>
      </c>
      <c r="K85" s="15" t="s">
        <v>982</v>
      </c>
      <c r="L85" s="9" t="s">
        <v>1230</v>
      </c>
      <c r="M85" s="9" t="s">
        <v>1231</v>
      </c>
      <c r="N85" s="11">
        <v>2013</v>
      </c>
      <c r="O85" s="9" t="s">
        <v>1255</v>
      </c>
      <c r="P85" s="9" t="s">
        <v>1256</v>
      </c>
      <c r="Q85" s="12" t="s">
        <v>38</v>
      </c>
      <c r="R85" s="12" t="s">
        <v>987</v>
      </c>
      <c r="S85" s="9" t="s">
        <v>1257</v>
      </c>
      <c r="T85" s="9" t="s">
        <v>989</v>
      </c>
      <c r="U85" s="9" t="s">
        <v>990</v>
      </c>
      <c r="V85" s="9" t="s">
        <v>991</v>
      </c>
      <c r="W85" s="13" t="s">
        <v>992</v>
      </c>
      <c r="X85" s="13" t="s">
        <v>44</v>
      </c>
      <c r="Y85" s="9" t="s">
        <v>993</v>
      </c>
      <c r="Z85" s="9" t="s">
        <v>1251</v>
      </c>
      <c r="AA85" s="9" t="s">
        <v>1258</v>
      </c>
      <c r="AB85" s="9" t="s">
        <v>48</v>
      </c>
      <c r="AC85" s="9" t="s">
        <v>48</v>
      </c>
      <c r="AD85" s="9" t="s">
        <v>48</v>
      </c>
      <c r="AE85" s="9" t="s">
        <v>48</v>
      </c>
    </row>
    <row r="86" spans="1:31">
      <c r="A86" s="39">
        <v>84</v>
      </c>
      <c r="B86" s="39" t="s">
        <v>2687</v>
      </c>
      <c r="C86" s="101"/>
      <c r="D86" s="102"/>
      <c r="E86" s="102"/>
      <c r="F86" s="103" t="s">
        <v>2688</v>
      </c>
      <c r="G86" s="103"/>
      <c r="H86" s="103" t="s">
        <v>2393</v>
      </c>
      <c r="I86" s="103" t="s">
        <v>51</v>
      </c>
      <c r="J86" s="104" t="s">
        <v>35</v>
      </c>
      <c r="K86" s="105" t="s">
        <v>34</v>
      </c>
      <c r="L86" s="103" t="s">
        <v>35</v>
      </c>
      <c r="M86" s="103" t="s">
        <v>984</v>
      </c>
      <c r="N86" s="106">
        <v>2005</v>
      </c>
      <c r="O86" s="103"/>
      <c r="P86" s="104"/>
      <c r="Q86" s="107" t="s">
        <v>1453</v>
      </c>
      <c r="R86" s="107" t="s">
        <v>2426</v>
      </c>
      <c r="S86" s="103" t="s">
        <v>2689</v>
      </c>
      <c r="T86" s="103" t="s">
        <v>1085</v>
      </c>
      <c r="U86" s="103" t="s">
        <v>2690</v>
      </c>
      <c r="V86" s="103" t="s">
        <v>1087</v>
      </c>
      <c r="W86" s="108" t="s">
        <v>1015</v>
      </c>
      <c r="X86" s="108" t="s">
        <v>1089</v>
      </c>
      <c r="Y86" s="103" t="s">
        <v>1370</v>
      </c>
      <c r="Z86" s="103" t="s">
        <v>1139</v>
      </c>
      <c r="AA86" s="103" t="s">
        <v>2691</v>
      </c>
      <c r="AB86" s="103" t="s">
        <v>48</v>
      </c>
      <c r="AC86" s="103" t="s">
        <v>48</v>
      </c>
      <c r="AD86" s="103" t="s">
        <v>48</v>
      </c>
      <c r="AE86" s="103" t="s">
        <v>48</v>
      </c>
    </row>
    <row r="87" spans="1:31">
      <c r="A87" s="6">
        <v>85</v>
      </c>
      <c r="B87" s="6" t="s">
        <v>1514</v>
      </c>
      <c r="C87" s="7"/>
      <c r="D87" s="8"/>
      <c r="E87" s="8"/>
      <c r="F87" s="9" t="s">
        <v>1515</v>
      </c>
      <c r="G87" s="9"/>
      <c r="H87" s="9" t="s">
        <v>76</v>
      </c>
      <c r="I87" s="9" t="s">
        <v>51</v>
      </c>
      <c r="J87" s="10" t="s">
        <v>287</v>
      </c>
      <c r="K87" s="15" t="s">
        <v>982</v>
      </c>
      <c r="L87" s="9" t="s">
        <v>2212</v>
      </c>
      <c r="M87" s="9" t="s">
        <v>984</v>
      </c>
      <c r="N87" s="11">
        <v>2011</v>
      </c>
      <c r="O87" s="9"/>
      <c r="P87" s="10" t="s">
        <v>1517</v>
      </c>
      <c r="Q87" s="12" t="s">
        <v>38</v>
      </c>
      <c r="R87" s="12" t="s">
        <v>1234</v>
      </c>
      <c r="S87" s="9" t="s">
        <v>1518</v>
      </c>
      <c r="T87" s="9" t="s">
        <v>1085</v>
      </c>
      <c r="U87" s="9" t="s">
        <v>1519</v>
      </c>
      <c r="V87" s="9" t="s">
        <v>1161</v>
      </c>
      <c r="W87" s="13" t="s">
        <v>1114</v>
      </c>
      <c r="X87" s="13" t="s">
        <v>1115</v>
      </c>
      <c r="Y87" s="9" t="s">
        <v>45</v>
      </c>
      <c r="Z87" s="9" t="s">
        <v>1520</v>
      </c>
      <c r="AA87" s="9"/>
      <c r="AB87" s="9" t="s">
        <v>48</v>
      </c>
      <c r="AC87" s="9" t="s">
        <v>48</v>
      </c>
      <c r="AD87" s="9" t="s">
        <v>48</v>
      </c>
      <c r="AE87" s="9" t="s">
        <v>48</v>
      </c>
    </row>
    <row r="88" spans="1:31">
      <c r="A88" s="6">
        <v>86</v>
      </c>
      <c r="B88" s="6" t="s">
        <v>1900</v>
      </c>
      <c r="C88" s="7"/>
      <c r="D88" s="8"/>
      <c r="E88" s="8"/>
      <c r="F88" s="9" t="s">
        <v>1901</v>
      </c>
      <c r="G88" s="9"/>
      <c r="H88" s="9" t="s">
        <v>76</v>
      </c>
      <c r="I88" s="9" t="s">
        <v>51</v>
      </c>
      <c r="J88" s="10" t="s">
        <v>2007</v>
      </c>
      <c r="K88" s="15" t="s">
        <v>982</v>
      </c>
      <c r="L88" s="9" t="s">
        <v>2016</v>
      </c>
      <c r="M88" s="9" t="s">
        <v>2692</v>
      </c>
      <c r="N88" s="11">
        <v>2012</v>
      </c>
      <c r="O88" s="9" t="s">
        <v>1903</v>
      </c>
      <c r="P88" s="9" t="s">
        <v>1904</v>
      </c>
      <c r="Q88" s="12" t="s">
        <v>38</v>
      </c>
      <c r="R88" s="12" t="s">
        <v>1905</v>
      </c>
      <c r="S88" s="9" t="s">
        <v>1906</v>
      </c>
      <c r="T88" s="9" t="s">
        <v>1085</v>
      </c>
      <c r="U88" s="9" t="s">
        <v>1907</v>
      </c>
      <c r="V88" s="9" t="s">
        <v>1908</v>
      </c>
      <c r="W88" s="13" t="s">
        <v>1103</v>
      </c>
      <c r="X88" s="13" t="s">
        <v>1773</v>
      </c>
      <c r="Y88" s="9" t="s">
        <v>45</v>
      </c>
      <c r="Z88" s="9" t="s">
        <v>1116</v>
      </c>
      <c r="AA88" s="9" t="s">
        <v>1909</v>
      </c>
      <c r="AB88" s="9" t="s">
        <v>48</v>
      </c>
      <c r="AC88" s="9" t="s">
        <v>48</v>
      </c>
      <c r="AD88" s="9" t="s">
        <v>48</v>
      </c>
      <c r="AE88" s="9" t="s">
        <v>48</v>
      </c>
    </row>
    <row r="89" spans="1:31">
      <c r="A89" s="109">
        <v>87</v>
      </c>
      <c r="B89" s="109" t="s">
        <v>2693</v>
      </c>
      <c r="C89" s="110"/>
      <c r="D89" s="111"/>
      <c r="E89" s="111"/>
      <c r="F89" s="112" t="s">
        <v>2694</v>
      </c>
      <c r="G89" s="112" t="s">
        <v>2398</v>
      </c>
      <c r="H89" s="112" t="s">
        <v>2399</v>
      </c>
      <c r="I89" s="112" t="s">
        <v>51</v>
      </c>
      <c r="J89" s="113" t="s">
        <v>2695</v>
      </c>
      <c r="K89" s="114" t="s">
        <v>2696</v>
      </c>
      <c r="L89" s="112" t="s">
        <v>1080</v>
      </c>
      <c r="M89" s="112" t="s">
        <v>984</v>
      </c>
      <c r="N89" s="115">
        <v>2007</v>
      </c>
      <c r="O89" s="112" t="s">
        <v>2697</v>
      </c>
      <c r="P89" s="121" t="s">
        <v>2698</v>
      </c>
      <c r="Q89" s="115" t="s">
        <v>48</v>
      </c>
      <c r="R89" s="115" t="s">
        <v>2699</v>
      </c>
      <c r="S89" s="112" t="s">
        <v>2699</v>
      </c>
      <c r="T89" s="112" t="s">
        <v>2580</v>
      </c>
      <c r="U89" s="112" t="s">
        <v>2700</v>
      </c>
      <c r="V89" s="112" t="s">
        <v>1161</v>
      </c>
      <c r="W89" s="116" t="s">
        <v>2299</v>
      </c>
      <c r="X89" s="116" t="s">
        <v>1089</v>
      </c>
      <c r="Y89" s="112" t="s">
        <v>2701</v>
      </c>
      <c r="Z89" s="112" t="s">
        <v>48</v>
      </c>
      <c r="AA89" s="112" t="s">
        <v>48</v>
      </c>
      <c r="AB89" s="112" t="s">
        <v>48</v>
      </c>
      <c r="AC89" s="112" t="s">
        <v>48</v>
      </c>
      <c r="AD89" s="112" t="s">
        <v>48</v>
      </c>
      <c r="AE89" s="112" t="s">
        <v>48</v>
      </c>
    </row>
    <row r="90" spans="1:31">
      <c r="A90" s="6">
        <v>88</v>
      </c>
      <c r="B90" s="6" t="s">
        <v>1378</v>
      </c>
      <c r="C90" s="6" t="s">
        <v>1226</v>
      </c>
      <c r="D90" s="16">
        <v>27</v>
      </c>
      <c r="E90" s="16" t="s">
        <v>1379</v>
      </c>
      <c r="F90" s="9" t="s">
        <v>1380</v>
      </c>
      <c r="G90" s="9"/>
      <c r="H90" s="9" t="s">
        <v>76</v>
      </c>
      <c r="I90" s="9" t="s">
        <v>51</v>
      </c>
      <c r="J90" s="10" t="s">
        <v>1294</v>
      </c>
      <c r="K90" s="15" t="s">
        <v>982</v>
      </c>
      <c r="L90" s="9" t="s">
        <v>35</v>
      </c>
      <c r="M90" s="9" t="s">
        <v>1381</v>
      </c>
      <c r="N90" s="11">
        <v>2007</v>
      </c>
      <c r="O90" s="9" t="s">
        <v>269</v>
      </c>
      <c r="P90" s="30" t="s">
        <v>1382</v>
      </c>
      <c r="Q90" s="12" t="s">
        <v>1383</v>
      </c>
      <c r="R90" s="12" t="s">
        <v>1383</v>
      </c>
      <c r="S90" s="9">
        <v>269503</v>
      </c>
      <c r="T90" s="9" t="s">
        <v>1085</v>
      </c>
      <c r="U90" s="9" t="s">
        <v>1384</v>
      </c>
      <c r="V90" s="9" t="s">
        <v>1161</v>
      </c>
      <c r="W90" s="13" t="s">
        <v>1385</v>
      </c>
      <c r="X90" s="13" t="s">
        <v>1089</v>
      </c>
      <c r="Y90" s="9" t="s">
        <v>1370</v>
      </c>
      <c r="Z90" s="9" t="s">
        <v>1152</v>
      </c>
      <c r="AA90" s="9" t="s">
        <v>1386</v>
      </c>
      <c r="AB90" s="9" t="s">
        <v>48</v>
      </c>
      <c r="AC90" s="9" t="s">
        <v>48</v>
      </c>
      <c r="AD90" s="9" t="s">
        <v>48</v>
      </c>
      <c r="AE90" s="9" t="s">
        <v>48</v>
      </c>
    </row>
    <row r="91" spans="1:31">
      <c r="A91" s="109">
        <v>89</v>
      </c>
      <c r="B91" s="109" t="s">
        <v>2702</v>
      </c>
      <c r="C91" s="110"/>
      <c r="D91" s="111"/>
      <c r="E91" s="111"/>
      <c r="F91" s="112" t="s">
        <v>2703</v>
      </c>
      <c r="G91" s="112" t="s">
        <v>2398</v>
      </c>
      <c r="H91" s="112" t="s">
        <v>2399</v>
      </c>
      <c r="I91" s="112" t="s">
        <v>51</v>
      </c>
      <c r="J91" s="113" t="s">
        <v>2704</v>
      </c>
      <c r="K91" s="114" t="s">
        <v>34</v>
      </c>
      <c r="L91" s="112" t="s">
        <v>1562</v>
      </c>
      <c r="M91" s="112" t="s">
        <v>1352</v>
      </c>
      <c r="N91" s="115">
        <v>2001</v>
      </c>
      <c r="O91" s="112"/>
      <c r="P91" s="112"/>
      <c r="Q91" s="115" t="s">
        <v>1453</v>
      </c>
      <c r="R91" s="115" t="s">
        <v>1876</v>
      </c>
      <c r="S91" s="112" t="s">
        <v>2705</v>
      </c>
      <c r="T91" s="112" t="s">
        <v>1085</v>
      </c>
      <c r="U91" s="112" t="s">
        <v>2706</v>
      </c>
      <c r="V91" s="112" t="s">
        <v>1087</v>
      </c>
      <c r="W91" s="116" t="s">
        <v>1832</v>
      </c>
      <c r="X91" s="116" t="s">
        <v>2707</v>
      </c>
      <c r="Y91" s="112" t="s">
        <v>2573</v>
      </c>
      <c r="Z91" s="112" t="s">
        <v>2600</v>
      </c>
      <c r="AA91" s="112" t="s">
        <v>2708</v>
      </c>
      <c r="AB91" s="112" t="s">
        <v>48</v>
      </c>
      <c r="AC91" s="112" t="s">
        <v>48</v>
      </c>
      <c r="AD91" s="112" t="s">
        <v>48</v>
      </c>
      <c r="AE91" s="112" t="s">
        <v>48</v>
      </c>
    </row>
    <row r="92" spans="1:31">
      <c r="A92" s="6">
        <v>90</v>
      </c>
      <c r="B92" s="6" t="s">
        <v>1387</v>
      </c>
      <c r="C92" s="7"/>
      <c r="D92" s="8"/>
      <c r="E92" s="8"/>
      <c r="F92" s="9" t="s">
        <v>1388</v>
      </c>
      <c r="G92" s="9"/>
      <c r="H92" s="9" t="s">
        <v>76</v>
      </c>
      <c r="I92" s="9" t="s">
        <v>51</v>
      </c>
      <c r="J92" s="10" t="s">
        <v>2313</v>
      </c>
      <c r="K92" s="15" t="s">
        <v>34</v>
      </c>
      <c r="L92" s="9" t="s">
        <v>181</v>
      </c>
      <c r="M92" s="9" t="s">
        <v>1389</v>
      </c>
      <c r="N92" s="11">
        <v>2009</v>
      </c>
      <c r="O92" s="9"/>
      <c r="P92" s="9"/>
      <c r="Q92" s="12" t="s">
        <v>38</v>
      </c>
      <c r="R92" s="12" t="s">
        <v>1158</v>
      </c>
      <c r="S92" s="9" t="s">
        <v>1390</v>
      </c>
      <c r="T92" s="9" t="s">
        <v>1085</v>
      </c>
      <c r="U92" s="9" t="s">
        <v>1391</v>
      </c>
      <c r="V92" s="9" t="s">
        <v>1161</v>
      </c>
      <c r="W92" s="13" t="s">
        <v>1162</v>
      </c>
      <c r="X92" s="13" t="s">
        <v>1138</v>
      </c>
      <c r="Y92" s="9" t="s">
        <v>1163</v>
      </c>
      <c r="Z92" s="9" t="s">
        <v>1152</v>
      </c>
      <c r="AA92" s="9" t="s">
        <v>1392</v>
      </c>
      <c r="AB92" s="9" t="s">
        <v>48</v>
      </c>
      <c r="AC92" s="9" t="s">
        <v>48</v>
      </c>
      <c r="AD92" s="9" t="s">
        <v>48</v>
      </c>
      <c r="AE92" s="9" t="s">
        <v>48</v>
      </c>
    </row>
    <row r="93" spans="1:31">
      <c r="A93" s="6">
        <v>91</v>
      </c>
      <c r="B93" s="6" t="s">
        <v>1393</v>
      </c>
      <c r="C93" s="7"/>
      <c r="D93" s="8"/>
      <c r="E93" s="8"/>
      <c r="F93" s="9" t="s">
        <v>1394</v>
      </c>
      <c r="G93" s="9"/>
      <c r="H93" s="9" t="s">
        <v>1181</v>
      </c>
      <c r="I93" s="9" t="s">
        <v>51</v>
      </c>
      <c r="J93" s="10" t="s">
        <v>35</v>
      </c>
      <c r="K93" s="15" t="s">
        <v>982</v>
      </c>
      <c r="L93" s="9" t="s">
        <v>35</v>
      </c>
      <c r="M93" s="9" t="s">
        <v>984</v>
      </c>
      <c r="N93" s="11">
        <v>2009</v>
      </c>
      <c r="O93" s="9" t="s">
        <v>1395</v>
      </c>
      <c r="P93" s="30" t="s">
        <v>1396</v>
      </c>
      <c r="Q93" s="12" t="s">
        <v>38</v>
      </c>
      <c r="R93" s="12" t="s">
        <v>1158</v>
      </c>
      <c r="S93" s="9" t="s">
        <v>1397</v>
      </c>
      <c r="T93" s="9" t="s">
        <v>1085</v>
      </c>
      <c r="U93" s="9" t="s">
        <v>1398</v>
      </c>
      <c r="V93" s="9" t="s">
        <v>1161</v>
      </c>
      <c r="W93" s="13" t="s">
        <v>1162</v>
      </c>
      <c r="X93" s="13" t="s">
        <v>1138</v>
      </c>
      <c r="Y93" s="9" t="s">
        <v>1163</v>
      </c>
      <c r="Z93" s="9" t="s">
        <v>1152</v>
      </c>
      <c r="AA93" s="9" t="s">
        <v>1399</v>
      </c>
      <c r="AB93" s="9" t="s">
        <v>48</v>
      </c>
      <c r="AC93" s="9" t="s">
        <v>48</v>
      </c>
      <c r="AD93" s="9" t="s">
        <v>48</v>
      </c>
      <c r="AE93" s="9" t="s">
        <v>48</v>
      </c>
    </row>
    <row r="94" spans="1:31">
      <c r="A94" s="6">
        <v>92</v>
      </c>
      <c r="B94" s="6" t="s">
        <v>1154</v>
      </c>
      <c r="C94" s="7"/>
      <c r="D94" s="8"/>
      <c r="E94" s="8"/>
      <c r="F94" s="9" t="s">
        <v>1155</v>
      </c>
      <c r="G94" s="9"/>
      <c r="H94" s="9" t="s">
        <v>76</v>
      </c>
      <c r="I94" s="9" t="s">
        <v>51</v>
      </c>
      <c r="J94" s="10" t="s">
        <v>2709</v>
      </c>
      <c r="K94" s="15" t="s">
        <v>982</v>
      </c>
      <c r="L94" s="9" t="s">
        <v>79</v>
      </c>
      <c r="M94" s="9" t="s">
        <v>1804</v>
      </c>
      <c r="N94" s="11">
        <v>2009</v>
      </c>
      <c r="O94" s="9" t="s">
        <v>1157</v>
      </c>
      <c r="P94" s="9"/>
      <c r="Q94" s="12" t="s">
        <v>38</v>
      </c>
      <c r="R94" s="12" t="s">
        <v>1158</v>
      </c>
      <c r="S94" s="9" t="s">
        <v>1159</v>
      </c>
      <c r="T94" s="9" t="s">
        <v>1085</v>
      </c>
      <c r="U94" s="9" t="s">
        <v>1160</v>
      </c>
      <c r="V94" s="9" t="s">
        <v>1161</v>
      </c>
      <c r="W94" s="13" t="s">
        <v>1162</v>
      </c>
      <c r="X94" s="13" t="s">
        <v>1138</v>
      </c>
      <c r="Y94" s="9" t="s">
        <v>1163</v>
      </c>
      <c r="Z94" s="9" t="s">
        <v>1152</v>
      </c>
      <c r="AA94" s="9" t="s">
        <v>1164</v>
      </c>
      <c r="AB94" s="9" t="s">
        <v>1165</v>
      </c>
      <c r="AC94" s="9" t="s">
        <v>1166</v>
      </c>
      <c r="AD94" s="9" t="s">
        <v>48</v>
      </c>
      <c r="AE94" s="9" t="s">
        <v>48</v>
      </c>
    </row>
    <row r="95" spans="1:31">
      <c r="A95" s="39">
        <v>93</v>
      </c>
      <c r="B95" s="39" t="s">
        <v>2710</v>
      </c>
      <c r="C95" s="101"/>
      <c r="D95" s="102"/>
      <c r="E95" s="102"/>
      <c r="F95" s="103" t="s">
        <v>2711</v>
      </c>
      <c r="G95" s="103"/>
      <c r="H95" s="103" t="s">
        <v>2393</v>
      </c>
      <c r="I95" s="103" t="s">
        <v>32</v>
      </c>
      <c r="J95" s="104" t="s">
        <v>2712</v>
      </c>
      <c r="K95" s="105" t="s">
        <v>34</v>
      </c>
      <c r="L95" s="103" t="s">
        <v>35</v>
      </c>
      <c r="M95" s="103" t="s">
        <v>984</v>
      </c>
      <c r="N95" s="106">
        <v>2009</v>
      </c>
      <c r="O95" s="103"/>
      <c r="P95" s="103"/>
      <c r="Q95" s="107" t="s">
        <v>38</v>
      </c>
      <c r="R95" s="107" t="s">
        <v>2713</v>
      </c>
      <c r="S95" s="103" t="s">
        <v>2714</v>
      </c>
      <c r="T95" s="103" t="s">
        <v>1085</v>
      </c>
      <c r="U95" s="103" t="s">
        <v>2715</v>
      </c>
      <c r="V95" s="103" t="s">
        <v>1665</v>
      </c>
      <c r="W95" s="108" t="s">
        <v>2239</v>
      </c>
      <c r="X95" s="108" t="s">
        <v>2716</v>
      </c>
      <c r="Y95" s="103" t="s">
        <v>1163</v>
      </c>
      <c r="Z95" s="103" t="s">
        <v>1152</v>
      </c>
      <c r="AA95" s="103" t="s">
        <v>2717</v>
      </c>
      <c r="AB95" s="103" t="s">
        <v>48</v>
      </c>
      <c r="AC95" s="103" t="s">
        <v>48</v>
      </c>
      <c r="AD95" s="103" t="s">
        <v>48</v>
      </c>
      <c r="AE95" s="103" t="s">
        <v>48</v>
      </c>
    </row>
    <row r="96" spans="1:31">
      <c r="A96" s="39">
        <v>94</v>
      </c>
      <c r="B96" s="39" t="s">
        <v>2718</v>
      </c>
      <c r="C96" s="101"/>
      <c r="D96" s="102"/>
      <c r="E96" s="102"/>
      <c r="F96" s="103" t="s">
        <v>2719</v>
      </c>
      <c r="G96" s="103" t="s">
        <v>2720</v>
      </c>
      <c r="H96" s="103" t="s">
        <v>2393</v>
      </c>
      <c r="I96" s="103" t="s">
        <v>51</v>
      </c>
      <c r="J96" s="104" t="s">
        <v>35</v>
      </c>
      <c r="K96" s="105" t="s">
        <v>34</v>
      </c>
      <c r="L96" s="103" t="s">
        <v>35</v>
      </c>
      <c r="M96" s="103" t="s">
        <v>984</v>
      </c>
      <c r="N96" s="106">
        <v>2006</v>
      </c>
      <c r="O96" s="103"/>
      <c r="P96" s="103"/>
      <c r="Q96" s="107" t="s">
        <v>38</v>
      </c>
      <c r="R96" s="107" t="s">
        <v>1367</v>
      </c>
      <c r="S96" s="103" t="s">
        <v>2721</v>
      </c>
      <c r="T96" s="103" t="s">
        <v>1085</v>
      </c>
      <c r="U96" s="103" t="s">
        <v>2722</v>
      </c>
      <c r="V96" s="103" t="s">
        <v>1087</v>
      </c>
      <c r="W96" s="108" t="s">
        <v>2239</v>
      </c>
      <c r="X96" s="108" t="s">
        <v>1333</v>
      </c>
      <c r="Y96" s="103" t="s">
        <v>1370</v>
      </c>
      <c r="Z96" s="103" t="s">
        <v>1139</v>
      </c>
      <c r="AA96" s="103" t="s">
        <v>2723</v>
      </c>
      <c r="AB96" s="103" t="s">
        <v>48</v>
      </c>
      <c r="AC96" s="103" t="s">
        <v>48</v>
      </c>
      <c r="AD96" s="103" t="s">
        <v>48</v>
      </c>
      <c r="AE96" s="103" t="s">
        <v>48</v>
      </c>
    </row>
    <row r="97" spans="1:31">
      <c r="A97" s="39">
        <v>95</v>
      </c>
      <c r="B97" s="39" t="s">
        <v>2724</v>
      </c>
      <c r="C97" s="101"/>
      <c r="D97" s="102"/>
      <c r="E97" s="102"/>
      <c r="F97" s="103" t="s">
        <v>2725</v>
      </c>
      <c r="G97" s="103"/>
      <c r="H97" s="103" t="s">
        <v>2393</v>
      </c>
      <c r="I97" s="103" t="s">
        <v>51</v>
      </c>
      <c r="J97" s="104" t="s">
        <v>35</v>
      </c>
      <c r="K97" s="105" t="s">
        <v>34</v>
      </c>
      <c r="L97" s="103" t="s">
        <v>35</v>
      </c>
      <c r="M97" s="103" t="s">
        <v>984</v>
      </c>
      <c r="N97" s="106">
        <v>2006</v>
      </c>
      <c r="O97" s="103"/>
      <c r="P97" s="103"/>
      <c r="Q97" s="107" t="s">
        <v>56</v>
      </c>
      <c r="R97" s="107" t="s">
        <v>1083</v>
      </c>
      <c r="S97" s="103" t="s">
        <v>2726</v>
      </c>
      <c r="T97" s="103" t="s">
        <v>1085</v>
      </c>
      <c r="U97" s="103" t="s">
        <v>2727</v>
      </c>
      <c r="V97" s="103" t="s">
        <v>1087</v>
      </c>
      <c r="W97" s="108" t="s">
        <v>1114</v>
      </c>
      <c r="X97" s="108" t="s">
        <v>2728</v>
      </c>
      <c r="Y97" s="103" t="s">
        <v>1370</v>
      </c>
      <c r="Z97" s="103" t="s">
        <v>1139</v>
      </c>
      <c r="AA97" s="103" t="s">
        <v>2729</v>
      </c>
      <c r="AB97" s="103" t="s">
        <v>48</v>
      </c>
      <c r="AC97" s="103" t="s">
        <v>48</v>
      </c>
      <c r="AD97" s="103" t="s">
        <v>48</v>
      </c>
      <c r="AE97" s="103" t="s">
        <v>48</v>
      </c>
    </row>
    <row r="98" spans="1:31" ht="30">
      <c r="A98" s="39">
        <v>96</v>
      </c>
      <c r="B98" s="39" t="s">
        <v>2730</v>
      </c>
      <c r="C98" s="101"/>
      <c r="D98" s="102"/>
      <c r="E98" s="102"/>
      <c r="F98" s="103" t="s">
        <v>2731</v>
      </c>
      <c r="G98" s="103"/>
      <c r="H98" s="103" t="s">
        <v>2393</v>
      </c>
      <c r="I98" s="103" t="s">
        <v>51</v>
      </c>
      <c r="J98" s="104" t="s">
        <v>35</v>
      </c>
      <c r="K98" s="105" t="s">
        <v>34</v>
      </c>
      <c r="L98" s="103" t="s">
        <v>35</v>
      </c>
      <c r="M98" s="103" t="s">
        <v>984</v>
      </c>
      <c r="N98" s="106">
        <v>2005</v>
      </c>
      <c r="O98" s="103"/>
      <c r="P98" s="103"/>
      <c r="Q98" s="107" t="s">
        <v>38</v>
      </c>
      <c r="R98" s="107" t="s">
        <v>2633</v>
      </c>
      <c r="S98" s="103" t="s">
        <v>2732</v>
      </c>
      <c r="T98" s="103" t="s">
        <v>1085</v>
      </c>
      <c r="U98" s="103" t="s">
        <v>2733</v>
      </c>
      <c r="V98" s="103" t="s">
        <v>1087</v>
      </c>
      <c r="W98" s="108" t="s">
        <v>1114</v>
      </c>
      <c r="X98" s="108" t="s">
        <v>2734</v>
      </c>
      <c r="Y98" s="103" t="s">
        <v>1370</v>
      </c>
      <c r="Z98" s="103" t="s">
        <v>1139</v>
      </c>
      <c r="AA98" s="103" t="s">
        <v>2735</v>
      </c>
      <c r="AB98" s="103" t="s">
        <v>48</v>
      </c>
      <c r="AC98" s="103" t="s">
        <v>48</v>
      </c>
      <c r="AD98" s="103" t="s">
        <v>48</v>
      </c>
      <c r="AE98" s="103" t="s">
        <v>48</v>
      </c>
    </row>
    <row r="99" spans="1:31" ht="30">
      <c r="A99" s="6">
        <v>97</v>
      </c>
      <c r="B99" s="6" t="s">
        <v>1910</v>
      </c>
      <c r="C99" s="7"/>
      <c r="D99" s="8"/>
      <c r="E99" s="8"/>
      <c r="F99" s="9" t="s">
        <v>1911</v>
      </c>
      <c r="G99" s="9"/>
      <c r="H99" s="9" t="s">
        <v>76</v>
      </c>
      <c r="I99" s="9" t="s">
        <v>51</v>
      </c>
      <c r="J99" s="10" t="s">
        <v>1912</v>
      </c>
      <c r="K99" s="15" t="s">
        <v>34</v>
      </c>
      <c r="L99" s="9" t="s">
        <v>79</v>
      </c>
      <c r="M99" s="9" t="s">
        <v>1913</v>
      </c>
      <c r="N99" s="11">
        <v>2007</v>
      </c>
      <c r="O99" s="9" t="s">
        <v>1914</v>
      </c>
      <c r="P99" s="9"/>
      <c r="Q99" s="12" t="s">
        <v>38</v>
      </c>
      <c r="R99" s="12" t="s">
        <v>1915</v>
      </c>
      <c r="S99" s="9" t="s">
        <v>1916</v>
      </c>
      <c r="T99" s="9" t="s">
        <v>1085</v>
      </c>
      <c r="U99" s="9" t="s">
        <v>1917</v>
      </c>
      <c r="V99" s="9" t="s">
        <v>1087</v>
      </c>
      <c r="W99" s="13" t="s">
        <v>1237</v>
      </c>
      <c r="X99" s="13" t="s">
        <v>1918</v>
      </c>
      <c r="Y99" s="9" t="s">
        <v>1370</v>
      </c>
      <c r="Z99" s="9" t="s">
        <v>1139</v>
      </c>
      <c r="AA99" s="9" t="s">
        <v>1919</v>
      </c>
      <c r="AB99" s="9" t="s">
        <v>48</v>
      </c>
      <c r="AC99" s="9" t="s">
        <v>48</v>
      </c>
      <c r="AD99" s="9" t="s">
        <v>48</v>
      </c>
      <c r="AE99" s="9" t="s">
        <v>48</v>
      </c>
    </row>
    <row r="100" spans="1:31">
      <c r="A100" s="6">
        <v>98</v>
      </c>
      <c r="B100" s="6" t="s">
        <v>2013</v>
      </c>
      <c r="C100" s="7"/>
      <c r="D100" s="8"/>
      <c r="E100" s="8"/>
      <c r="F100" s="9" t="s">
        <v>2014</v>
      </c>
      <c r="G100" s="9"/>
      <c r="H100" s="9" t="s">
        <v>76</v>
      </c>
      <c r="I100" s="9" t="s">
        <v>51</v>
      </c>
      <c r="J100" s="10" t="s">
        <v>2736</v>
      </c>
      <c r="K100" s="15" t="s">
        <v>982</v>
      </c>
      <c r="L100" s="9" t="s">
        <v>2016</v>
      </c>
      <c r="M100" s="9" t="s">
        <v>2692</v>
      </c>
      <c r="N100" s="11">
        <v>2009</v>
      </c>
      <c r="O100" s="9" t="s">
        <v>2018</v>
      </c>
      <c r="P100" s="9" t="s">
        <v>2019</v>
      </c>
      <c r="Q100" s="12" t="s">
        <v>38</v>
      </c>
      <c r="R100" s="12" t="s">
        <v>1158</v>
      </c>
      <c r="S100" s="9" t="s">
        <v>2020</v>
      </c>
      <c r="T100" s="9" t="s">
        <v>1085</v>
      </c>
      <c r="U100" s="9" t="s">
        <v>2021</v>
      </c>
      <c r="V100" s="9" t="s">
        <v>1186</v>
      </c>
      <c r="W100" s="13" t="s">
        <v>1187</v>
      </c>
      <c r="X100" s="13" t="s">
        <v>1138</v>
      </c>
      <c r="Y100" s="9" t="s">
        <v>1267</v>
      </c>
      <c r="Z100" s="9" t="s">
        <v>1152</v>
      </c>
      <c r="AA100" s="9" t="s">
        <v>2022</v>
      </c>
      <c r="AB100" s="9" t="s">
        <v>48</v>
      </c>
      <c r="AC100" s="9" t="s">
        <v>48</v>
      </c>
      <c r="AD100" s="9" t="s">
        <v>48</v>
      </c>
      <c r="AE100" s="9" t="s">
        <v>48</v>
      </c>
    </row>
    <row r="101" spans="1:31">
      <c r="A101" s="6">
        <v>99</v>
      </c>
      <c r="B101" s="6" t="s">
        <v>1655</v>
      </c>
      <c r="C101" s="6">
        <v>11.4</v>
      </c>
      <c r="D101" s="16">
        <v>27</v>
      </c>
      <c r="E101" s="8" t="s">
        <v>1656</v>
      </c>
      <c r="F101" s="9" t="s">
        <v>1657</v>
      </c>
      <c r="G101" s="9"/>
      <c r="H101" s="9" t="s">
        <v>76</v>
      </c>
      <c r="I101" s="9" t="s">
        <v>51</v>
      </c>
      <c r="J101" s="10" t="s">
        <v>2737</v>
      </c>
      <c r="K101" s="15" t="s">
        <v>982</v>
      </c>
      <c r="L101" s="9" t="s">
        <v>2738</v>
      </c>
      <c r="M101" s="9" t="s">
        <v>2739</v>
      </c>
      <c r="N101" s="11">
        <v>2009</v>
      </c>
      <c r="O101" s="9"/>
      <c r="P101" s="9" t="s">
        <v>1661</v>
      </c>
      <c r="Q101" s="12" t="s">
        <v>1001</v>
      </c>
      <c r="R101" s="12" t="s">
        <v>1158</v>
      </c>
      <c r="S101" s="9" t="s">
        <v>1662</v>
      </c>
      <c r="T101" s="9" t="s">
        <v>1663</v>
      </c>
      <c r="U101" s="9" t="s">
        <v>1664</v>
      </c>
      <c r="V101" s="9" t="s">
        <v>1665</v>
      </c>
      <c r="W101" s="13" t="s">
        <v>1187</v>
      </c>
      <c r="X101" s="13" t="s">
        <v>1546</v>
      </c>
      <c r="Y101" s="9" t="s">
        <v>1267</v>
      </c>
      <c r="Z101" s="9" t="s">
        <v>1152</v>
      </c>
      <c r="AA101" s="9" t="s">
        <v>1666</v>
      </c>
      <c r="AB101" s="9" t="s">
        <v>1667</v>
      </c>
      <c r="AC101" s="9" t="s">
        <v>48</v>
      </c>
      <c r="AD101" s="9" t="s">
        <v>48</v>
      </c>
      <c r="AE101" s="9" t="s">
        <v>48</v>
      </c>
    </row>
    <row r="102" spans="1:31">
      <c r="A102" s="6">
        <v>100</v>
      </c>
      <c r="B102" s="6" t="s">
        <v>1535</v>
      </c>
      <c r="C102" s="6" t="s">
        <v>1536</v>
      </c>
      <c r="D102" s="16">
        <v>43</v>
      </c>
      <c r="E102" s="16" t="s">
        <v>1537</v>
      </c>
      <c r="F102" s="9" t="s">
        <v>1538</v>
      </c>
      <c r="G102" s="9"/>
      <c r="H102" s="9" t="s">
        <v>76</v>
      </c>
      <c r="I102" s="9" t="s">
        <v>51</v>
      </c>
      <c r="J102" s="10" t="s">
        <v>1539</v>
      </c>
      <c r="K102" s="15" t="s">
        <v>982</v>
      </c>
      <c r="L102" s="9" t="s">
        <v>1524</v>
      </c>
      <c r="M102" s="9" t="s">
        <v>1540</v>
      </c>
      <c r="N102" s="11">
        <v>2010</v>
      </c>
      <c r="O102" s="9" t="s">
        <v>1541</v>
      </c>
      <c r="P102" s="9" t="s">
        <v>1542</v>
      </c>
      <c r="Q102" s="12" t="s">
        <v>38</v>
      </c>
      <c r="R102" s="12" t="s">
        <v>1109</v>
      </c>
      <c r="S102" s="9" t="s">
        <v>1543</v>
      </c>
      <c r="T102" s="9" t="s">
        <v>1085</v>
      </c>
      <c r="U102" s="9" t="s">
        <v>1544</v>
      </c>
      <c r="V102" s="9" t="s">
        <v>1161</v>
      </c>
      <c r="W102" s="13" t="s">
        <v>1545</v>
      </c>
      <c r="X102" s="13" t="s">
        <v>1546</v>
      </c>
      <c r="Y102" s="9" t="s">
        <v>1267</v>
      </c>
      <c r="Z102" s="9" t="s">
        <v>1152</v>
      </c>
      <c r="AA102" s="9" t="s">
        <v>1547</v>
      </c>
      <c r="AB102" s="9" t="s">
        <v>48</v>
      </c>
      <c r="AC102" s="9" t="s">
        <v>48</v>
      </c>
      <c r="AD102" s="9" t="s">
        <v>48</v>
      </c>
      <c r="AE102" s="9" t="s">
        <v>48</v>
      </c>
    </row>
    <row r="103" spans="1:31">
      <c r="A103" s="6">
        <v>101</v>
      </c>
      <c r="B103" s="6" t="s">
        <v>2309</v>
      </c>
      <c r="C103" s="20" t="s">
        <v>2310</v>
      </c>
      <c r="D103" s="16">
        <v>2</v>
      </c>
      <c r="E103" s="16" t="s">
        <v>2311</v>
      </c>
      <c r="F103" s="9" t="s">
        <v>2312</v>
      </c>
      <c r="G103" s="9"/>
      <c r="H103" s="9" t="s">
        <v>76</v>
      </c>
      <c r="I103" s="9" t="s">
        <v>51</v>
      </c>
      <c r="J103" s="10" t="s">
        <v>2740</v>
      </c>
      <c r="K103" s="15" t="s">
        <v>982</v>
      </c>
      <c r="L103" s="9" t="s">
        <v>181</v>
      </c>
      <c r="M103" s="9" t="s">
        <v>2293</v>
      </c>
      <c r="N103" s="11">
        <v>2010</v>
      </c>
      <c r="O103" s="9" t="s">
        <v>2314</v>
      </c>
      <c r="P103" s="10" t="s">
        <v>2315</v>
      </c>
      <c r="Q103" s="12" t="s">
        <v>38</v>
      </c>
      <c r="R103" s="12" t="s">
        <v>2316</v>
      </c>
      <c r="S103" s="9" t="s">
        <v>2317</v>
      </c>
      <c r="T103" s="9" t="s">
        <v>1085</v>
      </c>
      <c r="U103" s="9" t="s">
        <v>2318</v>
      </c>
      <c r="V103" s="9" t="s">
        <v>1161</v>
      </c>
      <c r="W103" s="13" t="s">
        <v>1545</v>
      </c>
      <c r="X103" s="13" t="s">
        <v>1546</v>
      </c>
      <c r="Y103" s="9" t="s">
        <v>1267</v>
      </c>
      <c r="Z103" s="9" t="s">
        <v>1152</v>
      </c>
      <c r="AA103" s="9" t="s">
        <v>2319</v>
      </c>
      <c r="AB103" s="9" t="s">
        <v>48</v>
      </c>
      <c r="AC103" s="9" t="s">
        <v>48</v>
      </c>
      <c r="AD103" s="9" t="s">
        <v>48</v>
      </c>
      <c r="AE103" s="9" t="s">
        <v>48</v>
      </c>
    </row>
    <row r="104" spans="1:31">
      <c r="A104" s="6">
        <v>102</v>
      </c>
      <c r="B104" s="6" t="s">
        <v>1167</v>
      </c>
      <c r="C104" s="7"/>
      <c r="D104" s="8"/>
      <c r="E104" s="8"/>
      <c r="F104" s="9" t="s">
        <v>1168</v>
      </c>
      <c r="G104" s="9"/>
      <c r="H104" s="9" t="s">
        <v>76</v>
      </c>
      <c r="I104" s="9" t="s">
        <v>32</v>
      </c>
      <c r="J104" s="10" t="s">
        <v>1169</v>
      </c>
      <c r="K104" s="15" t="s">
        <v>982</v>
      </c>
      <c r="L104" s="9" t="s">
        <v>1170</v>
      </c>
      <c r="M104" s="9" t="s">
        <v>984</v>
      </c>
      <c r="N104" s="11">
        <v>2010</v>
      </c>
      <c r="O104" s="9" t="s">
        <v>1171</v>
      </c>
      <c r="P104" s="9" t="s">
        <v>1172</v>
      </c>
      <c r="Q104" s="12" t="s">
        <v>38</v>
      </c>
      <c r="R104" s="12" t="s">
        <v>1173</v>
      </c>
      <c r="S104" s="9" t="s">
        <v>1174</v>
      </c>
      <c r="T104" s="9" t="s">
        <v>1085</v>
      </c>
      <c r="U104" s="9" t="s">
        <v>1175</v>
      </c>
      <c r="V104" s="9" t="s">
        <v>1176</v>
      </c>
      <c r="W104" s="13" t="s">
        <v>1177</v>
      </c>
      <c r="X104" s="13" t="s">
        <v>44</v>
      </c>
      <c r="Y104" s="9" t="s">
        <v>993</v>
      </c>
      <c r="Z104" s="9" t="s">
        <v>1152</v>
      </c>
      <c r="AA104" s="9" t="s">
        <v>1178</v>
      </c>
      <c r="AB104" s="9" t="s">
        <v>48</v>
      </c>
      <c r="AC104" s="9" t="s">
        <v>48</v>
      </c>
      <c r="AD104" s="9" t="s">
        <v>48</v>
      </c>
      <c r="AE104" s="9" t="s">
        <v>48</v>
      </c>
    </row>
    <row r="105" spans="1:31">
      <c r="A105" s="6">
        <v>103</v>
      </c>
      <c r="B105" s="6" t="s">
        <v>1405</v>
      </c>
      <c r="C105" s="6" t="s">
        <v>1406</v>
      </c>
      <c r="D105" s="16">
        <v>7</v>
      </c>
      <c r="E105" s="16" t="s">
        <v>1407</v>
      </c>
      <c r="F105" s="9" t="s">
        <v>1408</v>
      </c>
      <c r="G105" s="9"/>
      <c r="H105" s="9" t="s">
        <v>76</v>
      </c>
      <c r="I105" s="9" t="s">
        <v>32</v>
      </c>
      <c r="J105" s="10" t="s">
        <v>35</v>
      </c>
      <c r="K105" s="15" t="s">
        <v>982</v>
      </c>
      <c r="L105" s="9" t="s">
        <v>35</v>
      </c>
      <c r="M105" s="9" t="s">
        <v>984</v>
      </c>
      <c r="N105" s="11">
        <v>2010</v>
      </c>
      <c r="O105" s="9" t="s">
        <v>1410</v>
      </c>
      <c r="P105" s="9" t="s">
        <v>1411</v>
      </c>
      <c r="Q105" s="12" t="s">
        <v>38</v>
      </c>
      <c r="R105" s="12" t="s">
        <v>1412</v>
      </c>
      <c r="S105" s="9" t="s">
        <v>1413</v>
      </c>
      <c r="T105" s="9" t="s">
        <v>1111</v>
      </c>
      <c r="U105" s="9" t="s">
        <v>1414</v>
      </c>
      <c r="V105" s="9" t="s">
        <v>1415</v>
      </c>
      <c r="W105" s="13" t="s">
        <v>1416</v>
      </c>
      <c r="X105" s="13" t="s">
        <v>1238</v>
      </c>
      <c r="Y105" s="9" t="s">
        <v>1267</v>
      </c>
      <c r="Z105" s="9" t="s">
        <v>1152</v>
      </c>
      <c r="AA105" s="9" t="s">
        <v>1414</v>
      </c>
      <c r="AB105" s="9" t="s">
        <v>1417</v>
      </c>
      <c r="AC105" s="9" t="s">
        <v>1418</v>
      </c>
      <c r="AD105" s="9" t="s">
        <v>1165</v>
      </c>
      <c r="AE105" s="9" t="s">
        <v>1419</v>
      </c>
    </row>
    <row r="106" spans="1:31">
      <c r="A106" s="6">
        <v>104</v>
      </c>
      <c r="B106" s="6" t="s">
        <v>1259</v>
      </c>
      <c r="C106" s="7"/>
      <c r="D106" s="8"/>
      <c r="E106" s="8"/>
      <c r="F106" s="9" t="s">
        <v>1260</v>
      </c>
      <c r="G106" s="9"/>
      <c r="H106" s="9" t="s">
        <v>76</v>
      </c>
      <c r="I106" s="9" t="s">
        <v>51</v>
      </c>
      <c r="J106" s="10" t="s">
        <v>2741</v>
      </c>
      <c r="K106" s="15" t="s">
        <v>982</v>
      </c>
      <c r="L106" s="9" t="s">
        <v>1466</v>
      </c>
      <c r="M106" s="9" t="s">
        <v>1467</v>
      </c>
      <c r="N106" s="11">
        <v>2010</v>
      </c>
      <c r="O106" s="9" t="s">
        <v>1262</v>
      </c>
      <c r="P106" s="9" t="s">
        <v>1263</v>
      </c>
      <c r="Q106" s="12" t="s">
        <v>1001</v>
      </c>
      <c r="R106" s="12" t="s">
        <v>1109</v>
      </c>
      <c r="S106" s="9" t="s">
        <v>1264</v>
      </c>
      <c r="T106" s="9" t="s">
        <v>1111</v>
      </c>
      <c r="U106" s="9" t="s">
        <v>1265</v>
      </c>
      <c r="V106" s="9" t="s">
        <v>1161</v>
      </c>
      <c r="W106" s="13" t="s">
        <v>1266</v>
      </c>
      <c r="X106" s="13" t="s">
        <v>1115</v>
      </c>
      <c r="Y106" s="9" t="s">
        <v>1267</v>
      </c>
      <c r="Z106" s="9" t="s">
        <v>1116</v>
      </c>
      <c r="AA106" s="9" t="s">
        <v>1268</v>
      </c>
      <c r="AB106" s="9" t="s">
        <v>48</v>
      </c>
      <c r="AC106" s="9" t="s">
        <v>48</v>
      </c>
      <c r="AD106" s="9" t="s">
        <v>48</v>
      </c>
      <c r="AE106" s="9" t="s">
        <v>48</v>
      </c>
    </row>
    <row r="107" spans="1:31">
      <c r="A107" s="6">
        <v>105</v>
      </c>
      <c r="B107" s="6" t="s">
        <v>1463</v>
      </c>
      <c r="C107" s="7"/>
      <c r="D107" s="8"/>
      <c r="E107" s="8"/>
      <c r="F107" s="9" t="s">
        <v>1464</v>
      </c>
      <c r="G107" s="9"/>
      <c r="H107" s="9" t="s">
        <v>76</v>
      </c>
      <c r="I107" s="9" t="s">
        <v>51</v>
      </c>
      <c r="J107" s="10" t="s">
        <v>1465</v>
      </c>
      <c r="K107" s="15" t="s">
        <v>34</v>
      </c>
      <c r="L107" s="9" t="s">
        <v>1466</v>
      </c>
      <c r="M107" s="9" t="s">
        <v>1467</v>
      </c>
      <c r="N107" s="11">
        <v>2010</v>
      </c>
      <c r="O107" s="9" t="s">
        <v>1468</v>
      </c>
      <c r="P107" s="9" t="s">
        <v>1469</v>
      </c>
      <c r="Q107" s="12" t="s">
        <v>1001</v>
      </c>
      <c r="R107" s="12" t="s">
        <v>1109</v>
      </c>
      <c r="S107" s="9" t="s">
        <v>1470</v>
      </c>
      <c r="T107" s="9" t="s">
        <v>1111</v>
      </c>
      <c r="U107" s="9" t="s">
        <v>1471</v>
      </c>
      <c r="V107" s="9" t="s">
        <v>1161</v>
      </c>
      <c r="W107" s="13" t="s">
        <v>1266</v>
      </c>
      <c r="X107" s="13" t="s">
        <v>1115</v>
      </c>
      <c r="Y107" s="9" t="s">
        <v>1267</v>
      </c>
      <c r="Z107" s="9" t="s">
        <v>1116</v>
      </c>
      <c r="AA107" s="9" t="s">
        <v>1472</v>
      </c>
      <c r="AB107" s="9" t="s">
        <v>48</v>
      </c>
      <c r="AC107" s="9" t="s">
        <v>48</v>
      </c>
      <c r="AD107" s="9" t="s">
        <v>48</v>
      </c>
      <c r="AE107" s="9" t="s">
        <v>48</v>
      </c>
    </row>
    <row r="108" spans="1:31">
      <c r="A108" s="6">
        <v>106</v>
      </c>
      <c r="B108" s="6" t="s">
        <v>2242</v>
      </c>
      <c r="C108" s="7"/>
      <c r="D108" s="8"/>
      <c r="E108" s="8"/>
      <c r="F108" s="9" t="s">
        <v>2243</v>
      </c>
      <c r="G108" s="9"/>
      <c r="H108" s="9" t="s">
        <v>76</v>
      </c>
      <c r="I108" s="9" t="s">
        <v>51</v>
      </c>
      <c r="J108" s="10" t="s">
        <v>2244</v>
      </c>
      <c r="K108" s="15" t="s">
        <v>982</v>
      </c>
      <c r="L108" s="9" t="s">
        <v>91</v>
      </c>
      <c r="M108" s="9" t="s">
        <v>2017</v>
      </c>
      <c r="N108" s="11">
        <v>2010</v>
      </c>
      <c r="O108" s="9" t="s">
        <v>2245</v>
      </c>
      <c r="P108" s="9" t="s">
        <v>2246</v>
      </c>
      <c r="Q108" s="12" t="s">
        <v>1001</v>
      </c>
      <c r="R108" s="12" t="s">
        <v>1109</v>
      </c>
      <c r="S108" s="9" t="s">
        <v>2247</v>
      </c>
      <c r="T108" s="9" t="s">
        <v>1111</v>
      </c>
      <c r="U108" s="9" t="s">
        <v>2248</v>
      </c>
      <c r="V108" s="9" t="s">
        <v>1161</v>
      </c>
      <c r="W108" s="13" t="s">
        <v>1266</v>
      </c>
      <c r="X108" s="13" t="s">
        <v>1115</v>
      </c>
      <c r="Y108" s="9" t="s">
        <v>1267</v>
      </c>
      <c r="Z108" s="9" t="s">
        <v>1116</v>
      </c>
      <c r="AA108" s="9" t="s">
        <v>2249</v>
      </c>
      <c r="AB108" s="9" t="s">
        <v>48</v>
      </c>
      <c r="AC108" s="9" t="s">
        <v>48</v>
      </c>
      <c r="AD108" s="9" t="s">
        <v>48</v>
      </c>
      <c r="AE108" s="9" t="s">
        <v>48</v>
      </c>
    </row>
    <row r="109" spans="1:31">
      <c r="A109" s="6">
        <v>107</v>
      </c>
      <c r="B109" s="6" t="s">
        <v>1269</v>
      </c>
      <c r="C109" s="6" t="s">
        <v>978</v>
      </c>
      <c r="D109" s="16">
        <v>8</v>
      </c>
      <c r="E109" s="16" t="s">
        <v>1270</v>
      </c>
      <c r="F109" s="9" t="s">
        <v>1271</v>
      </c>
      <c r="G109" s="9"/>
      <c r="H109" s="9" t="s">
        <v>76</v>
      </c>
      <c r="I109" s="9" t="s">
        <v>51</v>
      </c>
      <c r="J109" s="10" t="s">
        <v>1272</v>
      </c>
      <c r="K109" s="15" t="s">
        <v>982</v>
      </c>
      <c r="L109" s="9" t="s">
        <v>1230</v>
      </c>
      <c r="M109" s="9" t="s">
        <v>1231</v>
      </c>
      <c r="N109" s="11">
        <v>2010</v>
      </c>
      <c r="O109" s="9" t="s">
        <v>1273</v>
      </c>
      <c r="P109" s="10" t="s">
        <v>1274</v>
      </c>
      <c r="Q109" s="12" t="s">
        <v>38</v>
      </c>
      <c r="R109" s="12" t="s">
        <v>1109</v>
      </c>
      <c r="S109" s="9" t="s">
        <v>1275</v>
      </c>
      <c r="T109" s="9" t="s">
        <v>1085</v>
      </c>
      <c r="U109" s="9" t="s">
        <v>1276</v>
      </c>
      <c r="V109" s="9" t="s">
        <v>1161</v>
      </c>
      <c r="W109" s="13" t="s">
        <v>1114</v>
      </c>
      <c r="X109" s="13" t="s">
        <v>1277</v>
      </c>
      <c r="Y109" s="9" t="s">
        <v>993</v>
      </c>
      <c r="Z109" s="9" t="s">
        <v>1116</v>
      </c>
      <c r="AA109" s="9" t="s">
        <v>1278</v>
      </c>
      <c r="AB109" s="9" t="s">
        <v>48</v>
      </c>
      <c r="AC109" s="9" t="s">
        <v>48</v>
      </c>
      <c r="AD109" s="9" t="s">
        <v>48</v>
      </c>
      <c r="AE109" s="9" t="s">
        <v>48</v>
      </c>
    </row>
    <row r="110" spans="1:31">
      <c r="A110" s="6">
        <v>108</v>
      </c>
      <c r="B110" s="6" t="s">
        <v>1920</v>
      </c>
      <c r="C110" s="7" t="s">
        <v>1226</v>
      </c>
      <c r="D110" s="16">
        <v>43</v>
      </c>
      <c r="E110" s="8" t="s">
        <v>1921</v>
      </c>
      <c r="F110" s="9" t="s">
        <v>1732</v>
      </c>
      <c r="G110" s="9"/>
      <c r="H110" s="9" t="s">
        <v>76</v>
      </c>
      <c r="I110" s="9" t="s">
        <v>51</v>
      </c>
      <c r="J110" s="10" t="s">
        <v>1922</v>
      </c>
      <c r="K110" s="15" t="s">
        <v>1374</v>
      </c>
      <c r="L110" s="9" t="s">
        <v>79</v>
      </c>
      <c r="M110" s="9" t="s">
        <v>1804</v>
      </c>
      <c r="N110" s="11">
        <v>2010</v>
      </c>
      <c r="O110" s="9" t="s">
        <v>1923</v>
      </c>
      <c r="P110" s="10" t="s">
        <v>1924</v>
      </c>
      <c r="Q110" s="12" t="s">
        <v>38</v>
      </c>
      <c r="R110" s="12" t="s">
        <v>1109</v>
      </c>
      <c r="S110" s="9" t="s">
        <v>1925</v>
      </c>
      <c r="T110" s="9" t="s">
        <v>1085</v>
      </c>
      <c r="U110" s="9" t="s">
        <v>1926</v>
      </c>
      <c r="V110" s="9" t="s">
        <v>1161</v>
      </c>
      <c r="W110" s="13" t="s">
        <v>1114</v>
      </c>
      <c r="X110" s="13" t="s">
        <v>1115</v>
      </c>
      <c r="Y110" s="9" t="s">
        <v>993</v>
      </c>
      <c r="Z110" s="9" t="s">
        <v>1116</v>
      </c>
      <c r="AA110" s="9" t="s">
        <v>1927</v>
      </c>
      <c r="AB110" s="9" t="s">
        <v>48</v>
      </c>
      <c r="AC110" s="9" t="s">
        <v>48</v>
      </c>
      <c r="AD110" s="9" t="s">
        <v>48</v>
      </c>
      <c r="AE110" s="9" t="s">
        <v>48</v>
      </c>
    </row>
    <row r="111" spans="1:31">
      <c r="A111" s="6">
        <v>109</v>
      </c>
      <c r="B111" s="6" t="s">
        <v>1668</v>
      </c>
      <c r="C111" s="6" t="s">
        <v>1669</v>
      </c>
      <c r="D111" s="16">
        <v>8</v>
      </c>
      <c r="E111" s="16" t="s">
        <v>1434</v>
      </c>
      <c r="F111" s="9" t="s">
        <v>1670</v>
      </c>
      <c r="G111" s="9"/>
      <c r="H111" s="9" t="s">
        <v>76</v>
      </c>
      <c r="I111" s="9" t="s">
        <v>51</v>
      </c>
      <c r="J111" s="10" t="s">
        <v>1671</v>
      </c>
      <c r="K111" s="15" t="s">
        <v>982</v>
      </c>
      <c r="L111" s="9" t="s">
        <v>1659</v>
      </c>
      <c r="M111" s="9" t="s">
        <v>1672</v>
      </c>
      <c r="N111" s="11">
        <v>2010</v>
      </c>
      <c r="O111" s="10" t="s">
        <v>1673</v>
      </c>
      <c r="P111" s="9" t="s">
        <v>1674</v>
      </c>
      <c r="Q111" s="12" t="s">
        <v>38</v>
      </c>
      <c r="R111" s="12" t="s">
        <v>1109</v>
      </c>
      <c r="S111" s="9" t="s">
        <v>1675</v>
      </c>
      <c r="T111" s="9" t="s">
        <v>1085</v>
      </c>
      <c r="U111" s="9" t="s">
        <v>1676</v>
      </c>
      <c r="V111" s="9" t="s">
        <v>1161</v>
      </c>
      <c r="W111" s="13" t="s">
        <v>1114</v>
      </c>
      <c r="X111" s="13" t="s">
        <v>1115</v>
      </c>
      <c r="Y111" s="9" t="s">
        <v>993</v>
      </c>
      <c r="Z111" s="9" t="s">
        <v>1116</v>
      </c>
      <c r="AA111" s="9" t="s">
        <v>1677</v>
      </c>
      <c r="AB111" s="9" t="s">
        <v>48</v>
      </c>
      <c r="AC111" s="9" t="s">
        <v>48</v>
      </c>
      <c r="AD111" s="9" t="s">
        <v>48</v>
      </c>
      <c r="AE111" s="9" t="s">
        <v>48</v>
      </c>
    </row>
    <row r="112" spans="1:31">
      <c r="A112" s="6">
        <v>110</v>
      </c>
      <c r="B112" s="6" t="s">
        <v>1928</v>
      </c>
      <c r="C112" s="7"/>
      <c r="D112" s="8"/>
      <c r="E112" s="8"/>
      <c r="F112" s="9" t="s">
        <v>1929</v>
      </c>
      <c r="G112" s="9"/>
      <c r="H112" s="9" t="s">
        <v>76</v>
      </c>
      <c r="I112" s="9" t="s">
        <v>51</v>
      </c>
      <c r="J112" s="10" t="s">
        <v>1930</v>
      </c>
      <c r="K112" s="15" t="s">
        <v>982</v>
      </c>
      <c r="L112" s="9" t="s">
        <v>79</v>
      </c>
      <c r="M112" s="9" t="s">
        <v>1931</v>
      </c>
      <c r="N112" s="11">
        <v>2011</v>
      </c>
      <c r="O112" s="9" t="s">
        <v>1932</v>
      </c>
      <c r="P112" s="10" t="s">
        <v>1933</v>
      </c>
      <c r="Q112" s="12" t="s">
        <v>38</v>
      </c>
      <c r="R112" s="12" t="s">
        <v>1109</v>
      </c>
      <c r="S112" s="9" t="s">
        <v>1934</v>
      </c>
      <c r="T112" s="9" t="s">
        <v>1085</v>
      </c>
      <c r="U112" s="9" t="s">
        <v>1935</v>
      </c>
      <c r="V112" s="9" t="s">
        <v>1161</v>
      </c>
      <c r="W112" s="13" t="s">
        <v>1114</v>
      </c>
      <c r="X112" s="13" t="s">
        <v>1115</v>
      </c>
      <c r="Y112" s="9" t="s">
        <v>993</v>
      </c>
      <c r="Z112" s="9" t="s">
        <v>1936</v>
      </c>
      <c r="AA112" s="9" t="s">
        <v>1937</v>
      </c>
      <c r="AB112" s="9" t="s">
        <v>48</v>
      </c>
      <c r="AC112" s="9" t="s">
        <v>48</v>
      </c>
      <c r="AD112" s="9" t="s">
        <v>48</v>
      </c>
      <c r="AE112" s="9" t="s">
        <v>48</v>
      </c>
    </row>
    <row r="113" spans="1:31">
      <c r="A113" s="109">
        <v>111</v>
      </c>
      <c r="B113" s="109" t="s">
        <v>2742</v>
      </c>
      <c r="C113" s="110"/>
      <c r="D113" s="111"/>
      <c r="E113" s="111"/>
      <c r="F113" s="112" t="s">
        <v>2743</v>
      </c>
      <c r="G113" s="112" t="s">
        <v>2398</v>
      </c>
      <c r="H113" s="112" t="s">
        <v>2399</v>
      </c>
      <c r="I113" s="112" t="s">
        <v>51</v>
      </c>
      <c r="J113" s="113" t="s">
        <v>2744</v>
      </c>
      <c r="K113" s="114"/>
      <c r="L113" s="112" t="s">
        <v>2016</v>
      </c>
      <c r="M113" s="112" t="s">
        <v>1836</v>
      </c>
      <c r="N113" s="115">
        <v>2011</v>
      </c>
      <c r="O113" s="112" t="s">
        <v>2745</v>
      </c>
      <c r="P113" s="112"/>
      <c r="Q113" s="115" t="s">
        <v>38</v>
      </c>
      <c r="R113" s="115" t="s">
        <v>2746</v>
      </c>
      <c r="S113" s="112" t="s">
        <v>2747</v>
      </c>
      <c r="T113" s="112" t="s">
        <v>1085</v>
      </c>
      <c r="U113" s="112" t="s">
        <v>2748</v>
      </c>
      <c r="V113" s="112" t="s">
        <v>2749</v>
      </c>
      <c r="W113" s="116" t="s">
        <v>2750</v>
      </c>
      <c r="X113" s="116" t="s">
        <v>2485</v>
      </c>
      <c r="Y113" s="112" t="s">
        <v>993</v>
      </c>
      <c r="Z113" s="112" t="s">
        <v>1116</v>
      </c>
      <c r="AA113" s="112" t="s">
        <v>2751</v>
      </c>
      <c r="AB113" s="112" t="s">
        <v>48</v>
      </c>
      <c r="AC113" s="112" t="s">
        <v>48</v>
      </c>
      <c r="AD113" s="112" t="s">
        <v>48</v>
      </c>
      <c r="AE113" s="112" t="s">
        <v>48</v>
      </c>
    </row>
    <row r="114" spans="1:31">
      <c r="A114" s="6">
        <v>112</v>
      </c>
      <c r="B114" s="6" t="s">
        <v>1678</v>
      </c>
      <c r="C114" s="7"/>
      <c r="D114" s="8"/>
      <c r="E114" s="8"/>
      <c r="F114" s="9" t="s">
        <v>1679</v>
      </c>
      <c r="G114" s="9"/>
      <c r="H114" s="9" t="s">
        <v>76</v>
      </c>
      <c r="I114" s="9" t="s">
        <v>51</v>
      </c>
      <c r="J114" s="10" t="s">
        <v>1680</v>
      </c>
      <c r="K114" s="15" t="s">
        <v>982</v>
      </c>
      <c r="L114" s="9" t="s">
        <v>2629</v>
      </c>
      <c r="M114" s="9" t="s">
        <v>1389</v>
      </c>
      <c r="N114" s="11">
        <v>2011</v>
      </c>
      <c r="O114" s="9" t="s">
        <v>1681</v>
      </c>
      <c r="P114" s="10" t="s">
        <v>1682</v>
      </c>
      <c r="Q114" s="12" t="s">
        <v>38</v>
      </c>
      <c r="R114" s="12" t="s">
        <v>1109</v>
      </c>
      <c r="S114" s="9" t="s">
        <v>1683</v>
      </c>
      <c r="T114" s="9" t="s">
        <v>1085</v>
      </c>
      <c r="U114" s="9" t="s">
        <v>1684</v>
      </c>
      <c r="V114" s="9" t="s">
        <v>1113</v>
      </c>
      <c r="W114" s="13" t="s">
        <v>1114</v>
      </c>
      <c r="X114" s="13" t="s">
        <v>1115</v>
      </c>
      <c r="Y114" s="9" t="s">
        <v>993</v>
      </c>
      <c r="Z114" s="9" t="s">
        <v>1116</v>
      </c>
      <c r="AA114" s="9" t="s">
        <v>1685</v>
      </c>
      <c r="AB114" s="9" t="s">
        <v>48</v>
      </c>
      <c r="AC114" s="9" t="s">
        <v>48</v>
      </c>
      <c r="AD114" s="9" t="s">
        <v>48</v>
      </c>
      <c r="AE114" s="9" t="s">
        <v>48</v>
      </c>
    </row>
    <row r="115" spans="1:31">
      <c r="A115" s="6">
        <v>113</v>
      </c>
      <c r="B115" s="6" t="s">
        <v>1473</v>
      </c>
      <c r="C115" s="6" t="s">
        <v>978</v>
      </c>
      <c r="D115" s="16">
        <v>35</v>
      </c>
      <c r="E115" s="16" t="s">
        <v>1474</v>
      </c>
      <c r="F115" s="9" t="s">
        <v>1475</v>
      </c>
      <c r="G115" s="9"/>
      <c r="H115" s="9" t="s">
        <v>76</v>
      </c>
      <c r="I115" s="9" t="s">
        <v>51</v>
      </c>
      <c r="J115" s="10" t="s">
        <v>2752</v>
      </c>
      <c r="K115" s="15" t="s">
        <v>982</v>
      </c>
      <c r="L115" s="9" t="s">
        <v>1466</v>
      </c>
      <c r="M115" s="9" t="s">
        <v>1467</v>
      </c>
      <c r="N115" s="11">
        <v>2011</v>
      </c>
      <c r="O115" s="9" t="s">
        <v>1476</v>
      </c>
      <c r="P115" s="10" t="s">
        <v>1477</v>
      </c>
      <c r="Q115" s="12" t="s">
        <v>38</v>
      </c>
      <c r="R115" s="12" t="s">
        <v>1109</v>
      </c>
      <c r="S115" s="9" t="s">
        <v>1478</v>
      </c>
      <c r="T115" s="9" t="s">
        <v>1085</v>
      </c>
      <c r="U115" s="9" t="s">
        <v>1479</v>
      </c>
      <c r="V115" s="9" t="s">
        <v>1113</v>
      </c>
      <c r="W115" s="13" t="s">
        <v>1114</v>
      </c>
      <c r="X115" s="13" t="s">
        <v>1115</v>
      </c>
      <c r="Y115" s="9" t="s">
        <v>993</v>
      </c>
      <c r="Z115" s="9" t="s">
        <v>1116</v>
      </c>
      <c r="AA115" s="9" t="s">
        <v>1480</v>
      </c>
      <c r="AB115" s="9" t="s">
        <v>1481</v>
      </c>
      <c r="AC115" s="9" t="s">
        <v>1482</v>
      </c>
      <c r="AD115" s="9" t="s">
        <v>48</v>
      </c>
      <c r="AE115" s="9" t="s">
        <v>48</v>
      </c>
    </row>
    <row r="116" spans="1:31">
      <c r="A116" s="6">
        <v>114</v>
      </c>
      <c r="B116" s="6" t="s">
        <v>1483</v>
      </c>
      <c r="C116" s="7"/>
      <c r="D116" s="8"/>
      <c r="E116" s="8"/>
      <c r="F116" s="9" t="s">
        <v>1484</v>
      </c>
      <c r="G116" s="9"/>
      <c r="H116" s="9" t="s">
        <v>76</v>
      </c>
      <c r="I116" s="9" t="s">
        <v>51</v>
      </c>
      <c r="J116" s="10" t="s">
        <v>1485</v>
      </c>
      <c r="K116" s="15" t="s">
        <v>34</v>
      </c>
      <c r="L116" s="9" t="s">
        <v>1466</v>
      </c>
      <c r="M116" s="9" t="s">
        <v>1467</v>
      </c>
      <c r="N116" s="11">
        <v>2011</v>
      </c>
      <c r="O116" s="9" t="s">
        <v>1486</v>
      </c>
      <c r="P116" s="10"/>
      <c r="Q116" s="12" t="s">
        <v>38</v>
      </c>
      <c r="R116" s="12" t="s">
        <v>1109</v>
      </c>
      <c r="S116" s="9" t="s">
        <v>1487</v>
      </c>
      <c r="T116" s="9" t="s">
        <v>1488</v>
      </c>
      <c r="U116" s="9" t="s">
        <v>1489</v>
      </c>
      <c r="V116" s="9" t="s">
        <v>1113</v>
      </c>
      <c r="W116" s="13" t="s">
        <v>1114</v>
      </c>
      <c r="X116" s="13" t="s">
        <v>1115</v>
      </c>
      <c r="Y116" s="9" t="s">
        <v>993</v>
      </c>
      <c r="Z116" s="9" t="s">
        <v>1116</v>
      </c>
      <c r="AA116" s="9" t="s">
        <v>1490</v>
      </c>
      <c r="AB116" s="9" t="s">
        <v>48</v>
      </c>
      <c r="AC116" s="9" t="s">
        <v>48</v>
      </c>
      <c r="AD116" s="9" t="s">
        <v>48</v>
      </c>
      <c r="AE116" s="9" t="s">
        <v>48</v>
      </c>
    </row>
    <row r="117" spans="1:31">
      <c r="A117" s="6">
        <v>115</v>
      </c>
      <c r="B117" s="6" t="s">
        <v>1105</v>
      </c>
      <c r="C117" s="7"/>
      <c r="D117" s="8"/>
      <c r="E117" s="8"/>
      <c r="F117" s="9" t="s">
        <v>1106</v>
      </c>
      <c r="G117" s="9"/>
      <c r="H117" s="9" t="s">
        <v>76</v>
      </c>
      <c r="I117" s="9" t="s">
        <v>51</v>
      </c>
      <c r="J117" s="10" t="s">
        <v>428</v>
      </c>
      <c r="K117" s="15" t="s">
        <v>982</v>
      </c>
      <c r="L117" s="9" t="s">
        <v>1080</v>
      </c>
      <c r="M117" s="9" t="s">
        <v>1672</v>
      </c>
      <c r="N117" s="11">
        <v>2011</v>
      </c>
      <c r="O117" s="9" t="s">
        <v>1107</v>
      </c>
      <c r="P117" s="10" t="s">
        <v>1108</v>
      </c>
      <c r="Q117" s="12" t="s">
        <v>38</v>
      </c>
      <c r="R117" s="12" t="s">
        <v>1109</v>
      </c>
      <c r="S117" s="9" t="s">
        <v>1110</v>
      </c>
      <c r="T117" s="9" t="s">
        <v>1111</v>
      </c>
      <c r="U117" s="9" t="s">
        <v>1112</v>
      </c>
      <c r="V117" s="9" t="s">
        <v>1113</v>
      </c>
      <c r="W117" s="13" t="s">
        <v>1114</v>
      </c>
      <c r="X117" s="13" t="s">
        <v>1115</v>
      </c>
      <c r="Y117" s="9" t="s">
        <v>993</v>
      </c>
      <c r="Z117" s="9" t="s">
        <v>1116</v>
      </c>
      <c r="AA117" s="9" t="s">
        <v>1117</v>
      </c>
      <c r="AB117" s="9" t="s">
        <v>48</v>
      </c>
      <c r="AC117" s="9" t="s">
        <v>48</v>
      </c>
      <c r="AD117" s="9" t="s">
        <v>48</v>
      </c>
      <c r="AE117" s="9" t="s">
        <v>48</v>
      </c>
    </row>
    <row r="118" spans="1:31">
      <c r="A118" s="6">
        <v>116</v>
      </c>
      <c r="B118" s="6" t="s">
        <v>1279</v>
      </c>
      <c r="C118" s="6" t="s">
        <v>978</v>
      </c>
      <c r="D118" s="16">
        <v>10</v>
      </c>
      <c r="E118" s="8" t="s">
        <v>1018</v>
      </c>
      <c r="F118" s="9" t="s">
        <v>1280</v>
      </c>
      <c r="G118" s="9"/>
      <c r="H118" s="9" t="s">
        <v>76</v>
      </c>
      <c r="I118" s="9" t="s">
        <v>51</v>
      </c>
      <c r="J118" s="10" t="s">
        <v>1281</v>
      </c>
      <c r="K118" s="15" t="s">
        <v>982</v>
      </c>
      <c r="L118" s="9" t="s">
        <v>1230</v>
      </c>
      <c r="M118" s="9" t="s">
        <v>1282</v>
      </c>
      <c r="N118" s="11">
        <v>2011</v>
      </c>
      <c r="O118" s="9" t="s">
        <v>1283</v>
      </c>
      <c r="P118" s="10" t="s">
        <v>1284</v>
      </c>
      <c r="Q118" s="12" t="s">
        <v>38</v>
      </c>
      <c r="R118" s="12" t="s">
        <v>1109</v>
      </c>
      <c r="S118" s="9" t="s">
        <v>1285</v>
      </c>
      <c r="T118" s="9" t="s">
        <v>1085</v>
      </c>
      <c r="U118" s="9" t="s">
        <v>1286</v>
      </c>
      <c r="V118" s="9" t="s">
        <v>1113</v>
      </c>
      <c r="W118" s="13" t="s">
        <v>1237</v>
      </c>
      <c r="X118" s="13" t="s">
        <v>1238</v>
      </c>
      <c r="Y118" s="9" t="s">
        <v>993</v>
      </c>
      <c r="Z118" s="9" t="s">
        <v>1116</v>
      </c>
      <c r="AA118" s="9" t="s">
        <v>1287</v>
      </c>
      <c r="AB118" s="9" t="s">
        <v>48</v>
      </c>
      <c r="AC118" s="9" t="s">
        <v>48</v>
      </c>
      <c r="AD118" s="9" t="s">
        <v>48</v>
      </c>
      <c r="AE118" s="9" t="s">
        <v>48</v>
      </c>
    </row>
    <row r="119" spans="1:31">
      <c r="A119" s="6">
        <v>117</v>
      </c>
      <c r="B119" s="6" t="s">
        <v>1938</v>
      </c>
      <c r="C119" s="7"/>
      <c r="D119" s="8"/>
      <c r="E119" s="8"/>
      <c r="F119" s="9" t="s">
        <v>1939</v>
      </c>
      <c r="G119" s="9"/>
      <c r="H119" s="9" t="s">
        <v>76</v>
      </c>
      <c r="I119" s="9" t="s">
        <v>51</v>
      </c>
      <c r="J119" s="10" t="s">
        <v>1940</v>
      </c>
      <c r="K119" s="15" t="s">
        <v>982</v>
      </c>
      <c r="L119" s="9" t="s">
        <v>79</v>
      </c>
      <c r="M119" s="9" t="s">
        <v>1804</v>
      </c>
      <c r="N119" s="11">
        <v>2012</v>
      </c>
      <c r="O119" s="9" t="s">
        <v>1941</v>
      </c>
      <c r="P119" s="10" t="s">
        <v>1942</v>
      </c>
      <c r="Q119" s="12" t="s">
        <v>38</v>
      </c>
      <c r="R119" s="12" t="s">
        <v>1943</v>
      </c>
      <c r="S119" s="9" t="s">
        <v>1944</v>
      </c>
      <c r="T119" s="9" t="s">
        <v>1085</v>
      </c>
      <c r="U119" s="9" t="s">
        <v>1945</v>
      </c>
      <c r="V119" s="9" t="s">
        <v>1908</v>
      </c>
      <c r="W119" s="13" t="s">
        <v>1103</v>
      </c>
      <c r="X119" s="13" t="s">
        <v>1773</v>
      </c>
      <c r="Y119" s="9" t="s">
        <v>993</v>
      </c>
      <c r="Z119" s="9" t="s">
        <v>1116</v>
      </c>
      <c r="AA119" s="9" t="s">
        <v>1946</v>
      </c>
      <c r="AB119" s="9" t="s">
        <v>48</v>
      </c>
      <c r="AC119" s="9" t="s">
        <v>48</v>
      </c>
      <c r="AD119" s="9" t="s">
        <v>48</v>
      </c>
      <c r="AE119" s="9" t="s">
        <v>48</v>
      </c>
    </row>
    <row r="120" spans="1:31">
      <c r="A120" s="6">
        <v>118</v>
      </c>
      <c r="B120" s="6" t="s">
        <v>2250</v>
      </c>
      <c r="C120" s="7"/>
      <c r="D120" s="8"/>
      <c r="E120" s="8"/>
      <c r="F120" s="9" t="s">
        <v>2251</v>
      </c>
      <c r="G120" s="9"/>
      <c r="H120" s="9" t="s">
        <v>76</v>
      </c>
      <c r="I120" s="9" t="s">
        <v>32</v>
      </c>
      <c r="J120" s="10" t="s">
        <v>2226</v>
      </c>
      <c r="K120" s="15" t="s">
        <v>34</v>
      </c>
      <c r="L120" s="9" t="s">
        <v>91</v>
      </c>
      <c r="M120" s="9" t="s">
        <v>2017</v>
      </c>
      <c r="N120" s="11">
        <v>2012</v>
      </c>
      <c r="O120" s="9" t="s">
        <v>2252</v>
      </c>
      <c r="P120" s="9"/>
      <c r="Q120" s="12" t="s">
        <v>38</v>
      </c>
      <c r="R120" s="12" t="s">
        <v>2253</v>
      </c>
      <c r="S120" s="9" t="s">
        <v>2254</v>
      </c>
      <c r="T120" s="9" t="s">
        <v>1085</v>
      </c>
      <c r="U120" s="9" t="s">
        <v>2255</v>
      </c>
      <c r="V120" s="9" t="s">
        <v>1249</v>
      </c>
      <c r="W120" s="13" t="s">
        <v>1250</v>
      </c>
      <c r="X120" s="13" t="s">
        <v>44</v>
      </c>
      <c r="Y120" s="9" t="s">
        <v>993</v>
      </c>
      <c r="Z120" s="9" t="s">
        <v>1116</v>
      </c>
      <c r="AA120" s="9" t="s">
        <v>2256</v>
      </c>
      <c r="AB120" s="9" t="s">
        <v>48</v>
      </c>
      <c r="AC120" s="9" t="s">
        <v>48</v>
      </c>
      <c r="AD120" s="9" t="s">
        <v>48</v>
      </c>
      <c r="AE120" s="9" t="s">
        <v>48</v>
      </c>
    </row>
    <row r="121" spans="1:31">
      <c r="A121" s="6">
        <v>119</v>
      </c>
      <c r="B121" s="6" t="s">
        <v>2073</v>
      </c>
      <c r="C121" s="7"/>
      <c r="D121" s="8"/>
      <c r="E121" s="8"/>
      <c r="F121" s="9" t="s">
        <v>2074</v>
      </c>
      <c r="G121" s="9"/>
      <c r="H121" s="9" t="s">
        <v>76</v>
      </c>
      <c r="I121" s="9" t="s">
        <v>51</v>
      </c>
      <c r="J121" s="10" t="s">
        <v>2075</v>
      </c>
      <c r="K121" s="15" t="s">
        <v>982</v>
      </c>
      <c r="L121" s="9" t="s">
        <v>53</v>
      </c>
      <c r="M121" s="9" t="s">
        <v>984</v>
      </c>
      <c r="N121" s="11">
        <v>2012</v>
      </c>
      <c r="O121" s="9" t="s">
        <v>2076</v>
      </c>
      <c r="P121" s="9" t="s">
        <v>2077</v>
      </c>
      <c r="Q121" s="12" t="s">
        <v>1001</v>
      </c>
      <c r="R121" s="12" t="s">
        <v>987</v>
      </c>
      <c r="S121" s="9" t="s">
        <v>2078</v>
      </c>
      <c r="T121" s="9" t="s">
        <v>1111</v>
      </c>
      <c r="U121" s="9" t="s">
        <v>2079</v>
      </c>
      <c r="V121" s="9" t="s">
        <v>1772</v>
      </c>
      <c r="W121" s="13" t="s">
        <v>1103</v>
      </c>
      <c r="X121" s="13" t="s">
        <v>1773</v>
      </c>
      <c r="Y121" s="9" t="s">
        <v>993</v>
      </c>
      <c r="Z121" s="9" t="s">
        <v>1116</v>
      </c>
      <c r="AA121" s="9" t="s">
        <v>2080</v>
      </c>
      <c r="AB121" s="9" t="s">
        <v>48</v>
      </c>
      <c r="AC121" s="9" t="s">
        <v>48</v>
      </c>
      <c r="AD121" s="9" t="s">
        <v>48</v>
      </c>
      <c r="AE121" s="9" t="s">
        <v>48</v>
      </c>
    </row>
    <row r="122" spans="1:31">
      <c r="A122" s="6">
        <v>120</v>
      </c>
      <c r="B122" s="6" t="s">
        <v>1764</v>
      </c>
      <c r="C122" s="6" t="s">
        <v>978</v>
      </c>
      <c r="D122" s="16">
        <v>18</v>
      </c>
      <c r="E122" s="16" t="s">
        <v>1765</v>
      </c>
      <c r="F122" s="9" t="s">
        <v>1766</v>
      </c>
      <c r="G122" s="9"/>
      <c r="H122" s="9" t="s">
        <v>76</v>
      </c>
      <c r="I122" s="9" t="s">
        <v>51</v>
      </c>
      <c r="J122" s="10" t="s">
        <v>1767</v>
      </c>
      <c r="K122" s="15" t="s">
        <v>982</v>
      </c>
      <c r="L122" s="9" t="s">
        <v>209</v>
      </c>
      <c r="M122" s="9" t="s">
        <v>2753</v>
      </c>
      <c r="N122" s="11">
        <v>2012</v>
      </c>
      <c r="O122" s="9" t="s">
        <v>1768</v>
      </c>
      <c r="P122" s="9" t="s">
        <v>1769</v>
      </c>
      <c r="Q122" s="12" t="s">
        <v>1001</v>
      </c>
      <c r="R122" s="12" t="s">
        <v>987</v>
      </c>
      <c r="S122" s="9" t="s">
        <v>1770</v>
      </c>
      <c r="T122" s="9" t="s">
        <v>1085</v>
      </c>
      <c r="U122" s="9" t="s">
        <v>1771</v>
      </c>
      <c r="V122" s="9" t="s">
        <v>1772</v>
      </c>
      <c r="W122" s="13" t="s">
        <v>1103</v>
      </c>
      <c r="X122" s="13" t="s">
        <v>1773</v>
      </c>
      <c r="Y122" s="9" t="s">
        <v>993</v>
      </c>
      <c r="Z122" s="9" t="s">
        <v>1116</v>
      </c>
      <c r="AA122" s="9" t="s">
        <v>1774</v>
      </c>
      <c r="AB122" s="9" t="s">
        <v>48</v>
      </c>
      <c r="AC122" s="9" t="s">
        <v>48</v>
      </c>
      <c r="AD122" s="9" t="s">
        <v>48</v>
      </c>
      <c r="AE122" s="9" t="s">
        <v>48</v>
      </c>
    </row>
    <row r="123" spans="1:31">
      <c r="A123" s="6">
        <v>121</v>
      </c>
      <c r="B123" s="6" t="s">
        <v>2081</v>
      </c>
      <c r="C123" s="6" t="s">
        <v>1536</v>
      </c>
      <c r="D123" s="16">
        <v>33</v>
      </c>
      <c r="E123" s="16" t="s">
        <v>2082</v>
      </c>
      <c r="F123" s="9" t="s">
        <v>2083</v>
      </c>
      <c r="G123" s="9"/>
      <c r="H123" s="9" t="s">
        <v>76</v>
      </c>
      <c r="I123" s="9" t="s">
        <v>51</v>
      </c>
      <c r="J123" s="10" t="s">
        <v>207</v>
      </c>
      <c r="K123" s="15" t="s">
        <v>982</v>
      </c>
      <c r="L123" s="9" t="s">
        <v>53</v>
      </c>
      <c r="M123" s="9" t="s">
        <v>984</v>
      </c>
      <c r="N123" s="11">
        <v>2012</v>
      </c>
      <c r="O123" s="9" t="s">
        <v>2084</v>
      </c>
      <c r="P123" s="10" t="s">
        <v>2085</v>
      </c>
      <c r="Q123" s="12" t="s">
        <v>38</v>
      </c>
      <c r="R123" s="12" t="s">
        <v>987</v>
      </c>
      <c r="S123" s="9" t="s">
        <v>2086</v>
      </c>
      <c r="T123" s="9" t="s">
        <v>1085</v>
      </c>
      <c r="U123" s="9" t="s">
        <v>2087</v>
      </c>
      <c r="V123" s="9" t="s">
        <v>1772</v>
      </c>
      <c r="W123" s="13" t="s">
        <v>1103</v>
      </c>
      <c r="X123" s="13" t="s">
        <v>1773</v>
      </c>
      <c r="Y123" s="9" t="s">
        <v>993</v>
      </c>
      <c r="Z123" s="9" t="s">
        <v>1116</v>
      </c>
      <c r="AA123" s="9" t="s">
        <v>2088</v>
      </c>
      <c r="AB123" s="9" t="s">
        <v>48</v>
      </c>
      <c r="AC123" s="9" t="s">
        <v>48</v>
      </c>
      <c r="AD123" s="9" t="s">
        <v>48</v>
      </c>
      <c r="AE123" s="9" t="s">
        <v>48</v>
      </c>
    </row>
    <row r="124" spans="1:31">
      <c r="A124" s="6">
        <v>122</v>
      </c>
      <c r="B124" s="6" t="s">
        <v>2209</v>
      </c>
      <c r="C124" s="7"/>
      <c r="D124" s="8"/>
      <c r="E124" s="8"/>
      <c r="F124" s="9" t="s">
        <v>2210</v>
      </c>
      <c r="G124" s="9"/>
      <c r="H124" s="9" t="s">
        <v>76</v>
      </c>
      <c r="I124" s="9" t="s">
        <v>51</v>
      </c>
      <c r="J124" s="10" t="s">
        <v>1208</v>
      </c>
      <c r="K124" s="15" t="s">
        <v>1243</v>
      </c>
      <c r="L124" s="9" t="s">
        <v>2407</v>
      </c>
      <c r="M124" s="9" t="s">
        <v>2754</v>
      </c>
      <c r="N124" s="11">
        <v>2013</v>
      </c>
      <c r="O124" s="30"/>
      <c r="P124" s="9" t="s">
        <v>2213</v>
      </c>
      <c r="Q124" s="12" t="s">
        <v>38</v>
      </c>
      <c r="R124" s="12" t="s">
        <v>2214</v>
      </c>
      <c r="S124" s="9" t="s">
        <v>2215</v>
      </c>
      <c r="T124" s="9" t="s">
        <v>1003</v>
      </c>
      <c r="U124" s="9" t="s">
        <v>1004</v>
      </c>
      <c r="V124" s="9" t="s">
        <v>2216</v>
      </c>
      <c r="W124" s="13" t="s">
        <v>1025</v>
      </c>
      <c r="X124" s="13" t="s">
        <v>44</v>
      </c>
      <c r="Y124" s="9" t="s">
        <v>2217</v>
      </c>
      <c r="Z124" s="9" t="s">
        <v>1116</v>
      </c>
      <c r="AA124" s="9" t="s">
        <v>2218</v>
      </c>
      <c r="AB124" s="9" t="s">
        <v>2219</v>
      </c>
      <c r="AC124" s="9" t="s">
        <v>2220</v>
      </c>
      <c r="AD124" s="9" t="s">
        <v>48</v>
      </c>
      <c r="AE124" s="9" t="s">
        <v>48</v>
      </c>
    </row>
    <row r="125" spans="1:31">
      <c r="A125" s="6">
        <v>123</v>
      </c>
      <c r="B125" s="6" t="s">
        <v>995</v>
      </c>
      <c r="C125" s="6"/>
      <c r="D125" s="16"/>
      <c r="E125" s="16" t="s">
        <v>996</v>
      </c>
      <c r="F125" s="9" t="s">
        <v>997</v>
      </c>
      <c r="G125" s="9"/>
      <c r="H125" s="9" t="s">
        <v>76</v>
      </c>
      <c r="I125" s="9" t="s">
        <v>51</v>
      </c>
      <c r="J125" s="10" t="s">
        <v>998</v>
      </c>
      <c r="K125" s="15" t="s">
        <v>982</v>
      </c>
      <c r="L125" s="9" t="s">
        <v>983</v>
      </c>
      <c r="M125" s="9" t="s">
        <v>984</v>
      </c>
      <c r="N125" s="11">
        <v>2013</v>
      </c>
      <c r="O125" s="9" t="s">
        <v>999</v>
      </c>
      <c r="P125" s="10" t="s">
        <v>1000</v>
      </c>
      <c r="Q125" s="12" t="s">
        <v>1001</v>
      </c>
      <c r="R125" s="12" t="s">
        <v>987</v>
      </c>
      <c r="S125" s="9" t="s">
        <v>1002</v>
      </c>
      <c r="T125" s="9" t="s">
        <v>1003</v>
      </c>
      <c r="U125" s="9" t="s">
        <v>1004</v>
      </c>
      <c r="V125" s="9" t="s">
        <v>991</v>
      </c>
      <c r="W125" s="13" t="s">
        <v>992</v>
      </c>
      <c r="X125" s="13" t="s">
        <v>44</v>
      </c>
      <c r="Y125" s="9" t="s">
        <v>993</v>
      </c>
      <c r="Z125" s="9" t="s">
        <v>46</v>
      </c>
      <c r="AA125" s="9" t="s">
        <v>1005</v>
      </c>
      <c r="AB125" s="9" t="s">
        <v>48</v>
      </c>
      <c r="AC125" s="9" t="s">
        <v>48</v>
      </c>
      <c r="AD125" s="9" t="s">
        <v>48</v>
      </c>
      <c r="AE125" s="9" t="s">
        <v>48</v>
      </c>
    </row>
    <row r="126" spans="1:31">
      <c r="A126" s="6">
        <v>124</v>
      </c>
      <c r="B126" s="6" t="s">
        <v>1593</v>
      </c>
      <c r="C126" s="7"/>
      <c r="D126" s="8"/>
      <c r="E126" s="16"/>
      <c r="F126" s="9" t="s">
        <v>1594</v>
      </c>
      <c r="G126" s="9"/>
      <c r="H126" s="9" t="s">
        <v>76</v>
      </c>
      <c r="I126" s="9" t="s">
        <v>51</v>
      </c>
      <c r="J126" s="10" t="s">
        <v>437</v>
      </c>
      <c r="K126" s="15" t="s">
        <v>982</v>
      </c>
      <c r="L126" s="9" t="s">
        <v>199</v>
      </c>
      <c r="M126" s="9" t="s">
        <v>984</v>
      </c>
      <c r="N126" s="11">
        <v>2013</v>
      </c>
      <c r="O126" s="9" t="s">
        <v>1595</v>
      </c>
      <c r="P126" s="9" t="s">
        <v>1596</v>
      </c>
      <c r="Q126" s="12" t="s">
        <v>38</v>
      </c>
      <c r="R126" s="12" t="s">
        <v>987</v>
      </c>
      <c r="S126" s="9" t="s">
        <v>1597</v>
      </c>
      <c r="T126" s="9" t="s">
        <v>989</v>
      </c>
      <c r="U126" s="9" t="s">
        <v>1004</v>
      </c>
      <c r="V126" s="9" t="s">
        <v>991</v>
      </c>
      <c r="W126" s="13" t="s">
        <v>1103</v>
      </c>
      <c r="X126" s="13" t="s">
        <v>44</v>
      </c>
      <c r="Y126" s="9" t="s">
        <v>45</v>
      </c>
      <c r="Z126" s="9" t="s">
        <v>46</v>
      </c>
      <c r="AA126" s="9" t="s">
        <v>1598</v>
      </c>
      <c r="AB126" s="9" t="s">
        <v>48</v>
      </c>
      <c r="AC126" s="9" t="s">
        <v>48</v>
      </c>
      <c r="AD126" s="9" t="s">
        <v>48</v>
      </c>
      <c r="AE126" s="9" t="s">
        <v>48</v>
      </c>
    </row>
    <row r="127" spans="1:31">
      <c r="A127" s="109">
        <v>125</v>
      </c>
      <c r="B127" s="109" t="s">
        <v>2755</v>
      </c>
      <c r="C127" s="109" t="s">
        <v>978</v>
      </c>
      <c r="D127" s="122">
        <v>2</v>
      </c>
      <c r="E127" s="122" t="s">
        <v>2756</v>
      </c>
      <c r="F127" s="112" t="s">
        <v>2757</v>
      </c>
      <c r="G127" s="112" t="s">
        <v>2398</v>
      </c>
      <c r="H127" s="112" t="s">
        <v>2399</v>
      </c>
      <c r="I127" s="112" t="s">
        <v>32</v>
      </c>
      <c r="J127" s="113" t="s">
        <v>2758</v>
      </c>
      <c r="K127" s="114" t="s">
        <v>982</v>
      </c>
      <c r="L127" s="112" t="s">
        <v>35</v>
      </c>
      <c r="M127" s="112" t="s">
        <v>984</v>
      </c>
      <c r="N127" s="123">
        <v>2013</v>
      </c>
      <c r="O127" s="112" t="s">
        <v>1993</v>
      </c>
      <c r="P127" s="124" t="s">
        <v>2759</v>
      </c>
      <c r="Q127" s="115" t="s">
        <v>2760</v>
      </c>
      <c r="R127" s="115" t="s">
        <v>2761</v>
      </c>
      <c r="S127" s="112" t="s">
        <v>2762</v>
      </c>
      <c r="T127" s="112" t="s">
        <v>2763</v>
      </c>
      <c r="U127" s="112" t="s">
        <v>2764</v>
      </c>
      <c r="V127" s="112" t="s">
        <v>2765</v>
      </c>
      <c r="W127" s="116" t="s">
        <v>1162</v>
      </c>
      <c r="X127" s="116" t="s">
        <v>44</v>
      </c>
      <c r="Y127" s="112" t="s">
        <v>2766</v>
      </c>
      <c r="Z127" s="112" t="s">
        <v>46</v>
      </c>
      <c r="AA127" s="112" t="s">
        <v>2767</v>
      </c>
      <c r="AB127" s="112" t="s">
        <v>1165</v>
      </c>
      <c r="AC127" s="112" t="s">
        <v>2768</v>
      </c>
      <c r="AD127" s="112" t="s">
        <v>48</v>
      </c>
      <c r="AE127" s="112" t="s">
        <v>48</v>
      </c>
    </row>
    <row r="128" spans="1:31">
      <c r="A128" s="109">
        <v>126</v>
      </c>
      <c r="B128" s="109" t="s">
        <v>2769</v>
      </c>
      <c r="C128" s="110"/>
      <c r="D128" s="111"/>
      <c r="E128" s="111"/>
      <c r="F128" s="112" t="s">
        <v>2770</v>
      </c>
      <c r="G128" s="112" t="s">
        <v>2398</v>
      </c>
      <c r="H128" s="112" t="s">
        <v>2399</v>
      </c>
      <c r="I128" s="112" t="s">
        <v>32</v>
      </c>
      <c r="J128" s="113" t="s">
        <v>2180</v>
      </c>
      <c r="K128" s="114"/>
      <c r="L128" s="112" t="s">
        <v>2016</v>
      </c>
      <c r="M128" s="112"/>
      <c r="N128" s="115">
        <v>2014</v>
      </c>
      <c r="O128" s="112" t="s">
        <v>2771</v>
      </c>
      <c r="P128" s="112"/>
      <c r="Q128" s="115" t="s">
        <v>2100</v>
      </c>
      <c r="R128" s="115" t="s">
        <v>2101</v>
      </c>
      <c r="S128" s="112" t="s">
        <v>2772</v>
      </c>
      <c r="T128" s="112" t="s">
        <v>2763</v>
      </c>
      <c r="U128" s="112" t="s">
        <v>1428</v>
      </c>
      <c r="V128" s="112" t="s">
        <v>2103</v>
      </c>
      <c r="W128" s="116" t="s">
        <v>1250</v>
      </c>
      <c r="X128" s="116" t="s">
        <v>44</v>
      </c>
      <c r="Y128" s="112" t="s">
        <v>2104</v>
      </c>
      <c r="Z128" s="112" t="s">
        <v>46</v>
      </c>
      <c r="AA128" s="112" t="s">
        <v>2773</v>
      </c>
      <c r="AB128" s="112" t="s">
        <v>2774</v>
      </c>
      <c r="AC128" s="112" t="s">
        <v>2775</v>
      </c>
      <c r="AD128" s="112" t="s">
        <v>1165</v>
      </c>
      <c r="AE128" s="112" t="s">
        <v>2776</v>
      </c>
    </row>
    <row r="129" spans="1:31">
      <c r="A129" s="6">
        <v>127</v>
      </c>
      <c r="B129" s="6" t="s">
        <v>1006</v>
      </c>
      <c r="C129" s="6" t="s">
        <v>978</v>
      </c>
      <c r="D129" s="16">
        <v>39</v>
      </c>
      <c r="E129" s="16" t="s">
        <v>1007</v>
      </c>
      <c r="F129" s="9" t="s">
        <v>1008</v>
      </c>
      <c r="G129" s="9"/>
      <c r="H129" s="9" t="s">
        <v>76</v>
      </c>
      <c r="I129" s="9" t="s">
        <v>51</v>
      </c>
      <c r="J129" s="10" t="s">
        <v>1009</v>
      </c>
      <c r="K129" s="15" t="s">
        <v>982</v>
      </c>
      <c r="L129" s="9" t="s">
        <v>983</v>
      </c>
      <c r="M129" s="9" t="s">
        <v>984</v>
      </c>
      <c r="N129" s="11">
        <v>2014</v>
      </c>
      <c r="O129" s="9" t="s">
        <v>1010</v>
      </c>
      <c r="P129" s="10" t="s">
        <v>1011</v>
      </c>
      <c r="Q129" s="12" t="s">
        <v>38</v>
      </c>
      <c r="R129" s="12" t="s">
        <v>1012</v>
      </c>
      <c r="S129" s="9" t="s">
        <v>1013</v>
      </c>
      <c r="T129" s="9" t="s">
        <v>1003</v>
      </c>
      <c r="U129" s="9" t="s">
        <v>1004</v>
      </c>
      <c r="V129" s="9" t="s">
        <v>1014</v>
      </c>
      <c r="W129" s="13" t="s">
        <v>1015</v>
      </c>
      <c r="X129" s="13" t="s">
        <v>44</v>
      </c>
      <c r="Y129" s="9" t="s">
        <v>45</v>
      </c>
      <c r="Z129" s="9" t="s">
        <v>46</v>
      </c>
      <c r="AA129" s="9" t="s">
        <v>1016</v>
      </c>
      <c r="AB129" s="9" t="s">
        <v>48</v>
      </c>
      <c r="AC129" s="9" t="s">
        <v>48</v>
      </c>
      <c r="AD129" s="9" t="s">
        <v>48</v>
      </c>
      <c r="AE129" s="9" t="s">
        <v>48</v>
      </c>
    </row>
    <row r="130" spans="1:31">
      <c r="A130" s="6">
        <v>128</v>
      </c>
      <c r="B130" s="6" t="s">
        <v>2089</v>
      </c>
      <c r="C130" s="7"/>
      <c r="D130" s="8"/>
      <c r="E130" s="8"/>
      <c r="F130" s="9" t="s">
        <v>2090</v>
      </c>
      <c r="G130" s="9"/>
      <c r="H130" s="9" t="s">
        <v>76</v>
      </c>
      <c r="I130" s="9" t="s">
        <v>51</v>
      </c>
      <c r="J130" s="10" t="s">
        <v>2075</v>
      </c>
      <c r="K130" s="15" t="s">
        <v>982</v>
      </c>
      <c r="L130" s="9" t="s">
        <v>53</v>
      </c>
      <c r="M130" s="9" t="s">
        <v>984</v>
      </c>
      <c r="N130" s="11">
        <v>2014</v>
      </c>
      <c r="O130" s="9"/>
      <c r="P130" s="9" t="s">
        <v>2091</v>
      </c>
      <c r="Q130" s="12" t="s">
        <v>38</v>
      </c>
      <c r="R130" s="12" t="s">
        <v>1012</v>
      </c>
      <c r="S130" s="9" t="s">
        <v>2092</v>
      </c>
      <c r="T130" s="9" t="s">
        <v>1003</v>
      </c>
      <c r="U130" s="9" t="s">
        <v>1004</v>
      </c>
      <c r="V130" s="9" t="s">
        <v>1014</v>
      </c>
      <c r="W130" s="13" t="s">
        <v>1015</v>
      </c>
      <c r="X130" s="13" t="s">
        <v>44</v>
      </c>
      <c r="Y130" s="9" t="s">
        <v>45</v>
      </c>
      <c r="Z130" s="9" t="s">
        <v>46</v>
      </c>
      <c r="AA130" s="9" t="s">
        <v>2093</v>
      </c>
      <c r="AB130" s="9" t="s">
        <v>48</v>
      </c>
      <c r="AC130" s="9" t="s">
        <v>48</v>
      </c>
      <c r="AD130" s="9" t="s">
        <v>48</v>
      </c>
      <c r="AE130" s="9" t="s">
        <v>48</v>
      </c>
    </row>
    <row r="131" spans="1:31">
      <c r="A131" s="6">
        <v>129</v>
      </c>
      <c r="B131" s="6" t="s">
        <v>2094</v>
      </c>
      <c r="C131" s="6" t="s">
        <v>1536</v>
      </c>
      <c r="D131" s="16">
        <v>2</v>
      </c>
      <c r="E131" s="8" t="s">
        <v>2095</v>
      </c>
      <c r="F131" s="9" t="s">
        <v>2096</v>
      </c>
      <c r="G131" s="9"/>
      <c r="H131" s="9" t="s">
        <v>76</v>
      </c>
      <c r="I131" s="9" t="s">
        <v>32</v>
      </c>
      <c r="J131" s="10" t="s">
        <v>2097</v>
      </c>
      <c r="K131" s="15" t="s">
        <v>1243</v>
      </c>
      <c r="L131" s="9" t="s">
        <v>53</v>
      </c>
      <c r="M131" s="9" t="s">
        <v>984</v>
      </c>
      <c r="N131" s="11">
        <v>2014</v>
      </c>
      <c r="O131" s="9" t="s">
        <v>2098</v>
      </c>
      <c r="P131" s="9" t="s">
        <v>2099</v>
      </c>
      <c r="Q131" s="12" t="s">
        <v>2100</v>
      </c>
      <c r="R131" s="12" t="s">
        <v>2101</v>
      </c>
      <c r="S131" s="9" t="s">
        <v>2102</v>
      </c>
      <c r="T131" s="9" t="s">
        <v>1003</v>
      </c>
      <c r="U131" s="9" t="s">
        <v>1428</v>
      </c>
      <c r="V131" s="9" t="s">
        <v>2103</v>
      </c>
      <c r="W131" s="13" t="s">
        <v>1250</v>
      </c>
      <c r="X131" s="13" t="s">
        <v>44</v>
      </c>
      <c r="Y131" s="9" t="s">
        <v>2104</v>
      </c>
      <c r="Z131" s="9" t="s">
        <v>46</v>
      </c>
      <c r="AA131" s="9" t="s">
        <v>2105</v>
      </c>
      <c r="AB131" s="9" t="s">
        <v>48</v>
      </c>
      <c r="AC131" s="9" t="s">
        <v>48</v>
      </c>
      <c r="AD131" s="9" t="s">
        <v>48</v>
      </c>
      <c r="AE131" s="9" t="s">
        <v>48</v>
      </c>
    </row>
    <row r="132" spans="1:31">
      <c r="A132" s="6">
        <v>130</v>
      </c>
      <c r="B132" s="6" t="s">
        <v>1686</v>
      </c>
      <c r="C132" s="7"/>
      <c r="D132" s="8"/>
      <c r="E132" s="8"/>
      <c r="F132" s="9" t="s">
        <v>1687</v>
      </c>
      <c r="G132" s="9"/>
      <c r="H132" s="9" t="s">
        <v>76</v>
      </c>
      <c r="I132" s="9" t="s">
        <v>51</v>
      </c>
      <c r="J132" s="10" t="s">
        <v>1688</v>
      </c>
      <c r="K132" s="15" t="s">
        <v>982</v>
      </c>
      <c r="L132" s="9" t="s">
        <v>1659</v>
      </c>
      <c r="M132" s="9" t="s">
        <v>1672</v>
      </c>
      <c r="N132" s="11">
        <v>2014</v>
      </c>
      <c r="O132" s="9" t="s">
        <v>1689</v>
      </c>
      <c r="P132" s="10" t="s">
        <v>1690</v>
      </c>
      <c r="Q132" s="12" t="s">
        <v>38</v>
      </c>
      <c r="R132" s="12" t="s">
        <v>1012</v>
      </c>
      <c r="S132" s="9" t="s">
        <v>1691</v>
      </c>
      <c r="T132" s="9" t="s">
        <v>1003</v>
      </c>
      <c r="U132" s="9" t="s">
        <v>1004</v>
      </c>
      <c r="V132" s="9" t="s">
        <v>1014</v>
      </c>
      <c r="W132" s="13" t="s">
        <v>1015</v>
      </c>
      <c r="X132" s="13" t="s">
        <v>44</v>
      </c>
      <c r="Y132" s="9" t="s">
        <v>45</v>
      </c>
      <c r="Z132" s="9" t="s">
        <v>46</v>
      </c>
      <c r="AA132" s="9" t="s">
        <v>1692</v>
      </c>
      <c r="AB132" s="9" t="s">
        <v>48</v>
      </c>
      <c r="AC132" s="9" t="s">
        <v>48</v>
      </c>
      <c r="AD132" s="9" t="s">
        <v>48</v>
      </c>
      <c r="AE132" s="9" t="s">
        <v>48</v>
      </c>
    </row>
    <row r="133" spans="1:31">
      <c r="A133" s="6">
        <v>131</v>
      </c>
      <c r="B133" s="6" t="s">
        <v>2106</v>
      </c>
      <c r="C133" s="6" t="s">
        <v>1536</v>
      </c>
      <c r="D133" s="16">
        <v>38</v>
      </c>
      <c r="E133" s="16" t="s">
        <v>2107</v>
      </c>
      <c r="F133" s="9" t="s">
        <v>2108</v>
      </c>
      <c r="G133" s="9"/>
      <c r="H133" s="9" t="s">
        <v>76</v>
      </c>
      <c r="I133" s="9" t="s">
        <v>51</v>
      </c>
      <c r="J133" s="10" t="s">
        <v>2109</v>
      </c>
      <c r="K133" s="15" t="s">
        <v>982</v>
      </c>
      <c r="L133" s="9" t="s">
        <v>53</v>
      </c>
      <c r="M133" s="9" t="s">
        <v>984</v>
      </c>
      <c r="N133" s="11">
        <v>2014</v>
      </c>
      <c r="O133" s="9" t="s">
        <v>2110</v>
      </c>
      <c r="P133" s="10" t="s">
        <v>2111</v>
      </c>
      <c r="Q133" s="12" t="s">
        <v>38</v>
      </c>
      <c r="R133" s="12" t="s">
        <v>1012</v>
      </c>
      <c r="S133" s="9" t="s">
        <v>2112</v>
      </c>
      <c r="T133" s="9" t="s">
        <v>1003</v>
      </c>
      <c r="U133" s="9" t="s">
        <v>1004</v>
      </c>
      <c r="V133" s="9" t="s">
        <v>1014</v>
      </c>
      <c r="W133" s="13" t="s">
        <v>1015</v>
      </c>
      <c r="X133" s="13" t="s">
        <v>44</v>
      </c>
      <c r="Y133" s="9" t="s">
        <v>45</v>
      </c>
      <c r="Z133" s="9" t="s">
        <v>46</v>
      </c>
      <c r="AA133" s="9" t="s">
        <v>2113</v>
      </c>
      <c r="AB133" s="9" t="s">
        <v>48</v>
      </c>
      <c r="AC133" s="9" t="s">
        <v>48</v>
      </c>
      <c r="AD133" s="9" t="s">
        <v>48</v>
      </c>
      <c r="AE133" s="9" t="s">
        <v>48</v>
      </c>
    </row>
    <row r="134" spans="1:31">
      <c r="A134" s="6">
        <v>132</v>
      </c>
      <c r="B134" s="6" t="s">
        <v>1420</v>
      </c>
      <c r="C134" s="6" t="s">
        <v>978</v>
      </c>
      <c r="D134" s="16">
        <v>28</v>
      </c>
      <c r="E134" s="16" t="s">
        <v>1421</v>
      </c>
      <c r="F134" s="9" t="s">
        <v>1422</v>
      </c>
      <c r="G134" s="9"/>
      <c r="H134" s="9" t="s">
        <v>76</v>
      </c>
      <c r="I134" s="9" t="s">
        <v>32</v>
      </c>
      <c r="J134" s="10" t="s">
        <v>1423</v>
      </c>
      <c r="K134" s="15" t="s">
        <v>982</v>
      </c>
      <c r="L134" s="9" t="s">
        <v>35</v>
      </c>
      <c r="M134" s="9" t="s">
        <v>984</v>
      </c>
      <c r="N134" s="11">
        <v>2014</v>
      </c>
      <c r="O134" s="9" t="s">
        <v>1424</v>
      </c>
      <c r="P134" s="10" t="s">
        <v>1425</v>
      </c>
      <c r="Q134" s="12" t="s">
        <v>38</v>
      </c>
      <c r="R134" s="12" t="s">
        <v>1426</v>
      </c>
      <c r="S134" s="31" t="s">
        <v>1427</v>
      </c>
      <c r="T134" s="9" t="s">
        <v>1003</v>
      </c>
      <c r="U134" s="9" t="s">
        <v>1428</v>
      </c>
      <c r="V134" s="9" t="s">
        <v>1429</v>
      </c>
      <c r="W134" s="13" t="s">
        <v>1346</v>
      </c>
      <c r="X134" s="13" t="s">
        <v>1430</v>
      </c>
      <c r="Y134" s="9" t="s">
        <v>98</v>
      </c>
      <c r="Z134" s="9" t="s">
        <v>46</v>
      </c>
      <c r="AA134" s="9" t="s">
        <v>1431</v>
      </c>
      <c r="AB134" s="9" t="s">
        <v>48</v>
      </c>
      <c r="AC134" s="9" t="s">
        <v>48</v>
      </c>
      <c r="AD134" s="9" t="s">
        <v>48</v>
      </c>
      <c r="AE134" s="9" t="s">
        <v>48</v>
      </c>
    </row>
    <row r="135" spans="1:31">
      <c r="A135" s="6">
        <v>133</v>
      </c>
      <c r="B135" s="6" t="s">
        <v>1432</v>
      </c>
      <c r="C135" s="7" t="s">
        <v>1433</v>
      </c>
      <c r="D135" s="8" t="s">
        <v>1434</v>
      </c>
      <c r="E135" s="8" t="s">
        <v>1434</v>
      </c>
      <c r="F135" s="9" t="s">
        <v>1435</v>
      </c>
      <c r="G135" s="9"/>
      <c r="H135" s="9" t="s">
        <v>76</v>
      </c>
      <c r="I135" s="9" t="s">
        <v>32</v>
      </c>
      <c r="J135" s="10" t="s">
        <v>1436</v>
      </c>
      <c r="K135" s="15" t="s">
        <v>982</v>
      </c>
      <c r="L135" s="9" t="s">
        <v>35</v>
      </c>
      <c r="M135" s="9" t="s">
        <v>984</v>
      </c>
      <c r="N135" s="11">
        <v>2015</v>
      </c>
      <c r="O135" s="9" t="s">
        <v>1437</v>
      </c>
      <c r="P135" s="10" t="s">
        <v>1438</v>
      </c>
      <c r="Q135" s="12" t="s">
        <v>38</v>
      </c>
      <c r="R135" s="12" t="s">
        <v>39</v>
      </c>
      <c r="S135" s="9" t="s">
        <v>40</v>
      </c>
      <c r="T135" s="9" t="s">
        <v>1003</v>
      </c>
      <c r="U135" s="9" t="s">
        <v>1439</v>
      </c>
      <c r="V135" s="9" t="s">
        <v>43</v>
      </c>
      <c r="W135" s="13"/>
      <c r="X135" s="13" t="s">
        <v>44</v>
      </c>
      <c r="Y135" s="9" t="s">
        <v>45</v>
      </c>
      <c r="Z135" s="9" t="s">
        <v>46</v>
      </c>
      <c r="AA135" s="9" t="s">
        <v>47</v>
      </c>
      <c r="AB135" s="9" t="s">
        <v>48</v>
      </c>
      <c r="AC135" s="9" t="s">
        <v>48</v>
      </c>
      <c r="AD135" s="9" t="s">
        <v>48</v>
      </c>
      <c r="AE135" s="9" t="s">
        <v>48</v>
      </c>
    </row>
    <row r="136" spans="1:31">
      <c r="A136" s="6">
        <v>134</v>
      </c>
      <c r="B136" s="6" t="s">
        <v>1947</v>
      </c>
      <c r="C136" s="7"/>
      <c r="D136" s="8"/>
      <c r="E136" s="8"/>
      <c r="F136" s="9" t="s">
        <v>1948</v>
      </c>
      <c r="G136" s="9"/>
      <c r="H136" s="9" t="s">
        <v>76</v>
      </c>
      <c r="I136" s="9" t="s">
        <v>51</v>
      </c>
      <c r="J136" s="10" t="s">
        <v>2777</v>
      </c>
      <c r="K136" s="15" t="s">
        <v>982</v>
      </c>
      <c r="L136" s="9" t="s">
        <v>79</v>
      </c>
      <c r="M136" s="9" t="s">
        <v>1804</v>
      </c>
      <c r="N136" s="11">
        <v>2016</v>
      </c>
      <c r="O136" s="9" t="s">
        <v>1950</v>
      </c>
      <c r="P136" s="10" t="s">
        <v>1951</v>
      </c>
      <c r="Q136" s="12" t="s">
        <v>38</v>
      </c>
      <c r="R136" s="12" t="s">
        <v>1495</v>
      </c>
      <c r="S136" s="9" t="s">
        <v>1952</v>
      </c>
      <c r="T136" s="9" t="s">
        <v>1003</v>
      </c>
      <c r="U136" s="9"/>
      <c r="V136" s="9"/>
      <c r="W136" s="13"/>
      <c r="X136" s="13"/>
      <c r="Y136" s="9"/>
      <c r="Z136" s="9" t="s">
        <v>88</v>
      </c>
      <c r="AA136" s="9" t="s">
        <v>1953</v>
      </c>
      <c r="AB136" s="9" t="s">
        <v>48</v>
      </c>
      <c r="AC136" s="9" t="s">
        <v>48</v>
      </c>
      <c r="AD136" s="9" t="s">
        <v>48</v>
      </c>
      <c r="AE136" s="9" t="s">
        <v>48</v>
      </c>
    </row>
    <row r="137" spans="1:31">
      <c r="A137" s="6">
        <v>135</v>
      </c>
      <c r="B137" s="6" t="s">
        <v>1491</v>
      </c>
      <c r="C137" s="7"/>
      <c r="D137" s="8"/>
      <c r="E137" s="8"/>
      <c r="F137" s="9" t="s">
        <v>1492</v>
      </c>
      <c r="G137" s="9"/>
      <c r="H137" s="9" t="s">
        <v>76</v>
      </c>
      <c r="I137" s="9" t="s">
        <v>51</v>
      </c>
      <c r="J137" s="10" t="s">
        <v>1584</v>
      </c>
      <c r="K137" s="15" t="s">
        <v>34</v>
      </c>
      <c r="L137" s="9" t="s">
        <v>199</v>
      </c>
      <c r="M137" s="9" t="s">
        <v>1389</v>
      </c>
      <c r="N137" s="11">
        <v>2016</v>
      </c>
      <c r="O137" s="9" t="s">
        <v>1494</v>
      </c>
      <c r="P137" s="9"/>
      <c r="Q137" s="12" t="s">
        <v>38</v>
      </c>
      <c r="R137" s="12" t="s">
        <v>1495</v>
      </c>
      <c r="S137" s="9" t="s">
        <v>1496</v>
      </c>
      <c r="T137" s="9"/>
      <c r="U137" s="9"/>
      <c r="V137" s="9"/>
      <c r="W137" s="13"/>
      <c r="X137" s="13"/>
      <c r="Y137" s="9"/>
      <c r="Z137" s="9" t="s">
        <v>88</v>
      </c>
      <c r="AA137" s="9" t="s">
        <v>1497</v>
      </c>
      <c r="AB137" s="9" t="s">
        <v>48</v>
      </c>
      <c r="AC137" s="9" t="s">
        <v>48</v>
      </c>
      <c r="AD137" s="9" t="s">
        <v>48</v>
      </c>
      <c r="AE137" s="9" t="s">
        <v>48</v>
      </c>
    </row>
    <row r="138" spans="1:31">
      <c r="A138" s="6">
        <v>136</v>
      </c>
      <c r="B138" s="6" t="s">
        <v>2048</v>
      </c>
      <c r="C138" s="7"/>
      <c r="D138" s="8"/>
      <c r="E138" s="8"/>
      <c r="F138" s="9" t="s">
        <v>2049</v>
      </c>
      <c r="G138" s="9"/>
      <c r="H138" s="9" t="s">
        <v>76</v>
      </c>
      <c r="I138" s="9" t="s">
        <v>32</v>
      </c>
      <c r="J138" s="10" t="s">
        <v>2778</v>
      </c>
      <c r="K138" s="15" t="s">
        <v>982</v>
      </c>
      <c r="L138" s="9" t="s">
        <v>35</v>
      </c>
      <c r="M138" s="9" t="s">
        <v>984</v>
      </c>
      <c r="N138" s="11">
        <v>42705</v>
      </c>
      <c r="O138" s="30" t="s">
        <v>74</v>
      </c>
      <c r="P138" s="29" t="s">
        <v>2051</v>
      </c>
      <c r="Q138" s="12" t="s">
        <v>38</v>
      </c>
      <c r="R138" s="12" t="s">
        <v>1445</v>
      </c>
      <c r="S138" s="9" t="s">
        <v>2052</v>
      </c>
      <c r="T138" s="9" t="s">
        <v>1447</v>
      </c>
      <c r="U138" s="9" t="s">
        <v>2053</v>
      </c>
      <c r="V138" s="9" t="s">
        <v>2054</v>
      </c>
      <c r="W138" s="13" t="s">
        <v>2055</v>
      </c>
      <c r="X138" s="13" t="s">
        <v>62</v>
      </c>
      <c r="Y138" s="9" t="s">
        <v>2056</v>
      </c>
      <c r="Z138" s="9" t="s">
        <v>48</v>
      </c>
      <c r="AA138" s="9" t="s">
        <v>48</v>
      </c>
      <c r="AB138" s="9" t="s">
        <v>48</v>
      </c>
      <c r="AC138" s="9" t="s">
        <v>48</v>
      </c>
      <c r="AD138" s="9" t="s">
        <v>48</v>
      </c>
      <c r="AE138" s="9" t="s">
        <v>48</v>
      </c>
    </row>
    <row r="139" spans="1:31">
      <c r="A139" s="6">
        <v>137</v>
      </c>
      <c r="B139" s="6" t="s">
        <v>1440</v>
      </c>
      <c r="C139" s="7"/>
      <c r="D139" s="8"/>
      <c r="E139" s="8"/>
      <c r="F139" s="9" t="s">
        <v>1441</v>
      </c>
      <c r="G139" s="9"/>
      <c r="H139" s="9" t="s">
        <v>76</v>
      </c>
      <c r="I139" s="9" t="s">
        <v>32</v>
      </c>
      <c r="J139" s="10" t="s">
        <v>1442</v>
      </c>
      <c r="K139" s="15" t="s">
        <v>982</v>
      </c>
      <c r="L139" s="9" t="s">
        <v>35</v>
      </c>
      <c r="M139" s="9" t="s">
        <v>984</v>
      </c>
      <c r="N139" s="11">
        <v>42705</v>
      </c>
      <c r="O139" s="9" t="s">
        <v>1443</v>
      </c>
      <c r="P139" s="9" t="s">
        <v>1444</v>
      </c>
      <c r="Q139" s="12" t="s">
        <v>38</v>
      </c>
      <c r="R139" s="12" t="s">
        <v>1445</v>
      </c>
      <c r="S139" s="9" t="s">
        <v>1446</v>
      </c>
      <c r="T139" s="9" t="s">
        <v>1447</v>
      </c>
      <c r="U139" s="9"/>
      <c r="V139" s="9"/>
      <c r="W139" s="13"/>
      <c r="X139" s="13"/>
      <c r="Y139" s="9"/>
      <c r="Z139" s="9"/>
      <c r="AA139" s="9"/>
      <c r="AB139" s="9" t="s">
        <v>48</v>
      </c>
      <c r="AC139" s="9" t="s">
        <v>48</v>
      </c>
      <c r="AD139" s="9" t="s">
        <v>48</v>
      </c>
      <c r="AE139" s="9" t="s">
        <v>48</v>
      </c>
    </row>
    <row r="140" spans="1:31">
      <c r="A140" s="6">
        <v>138</v>
      </c>
      <c r="B140" s="6" t="s">
        <v>2114</v>
      </c>
      <c r="C140" s="7"/>
      <c r="D140" s="8"/>
      <c r="E140" s="8"/>
      <c r="F140" s="9" t="s">
        <v>1732</v>
      </c>
      <c r="G140" s="9"/>
      <c r="H140" s="9" t="s">
        <v>76</v>
      </c>
      <c r="I140" s="9" t="s">
        <v>32</v>
      </c>
      <c r="J140" s="10" t="s">
        <v>2779</v>
      </c>
      <c r="K140" s="15" t="s">
        <v>1243</v>
      </c>
      <c r="L140" s="9" t="s">
        <v>53</v>
      </c>
      <c r="M140" s="9" t="s">
        <v>984</v>
      </c>
      <c r="N140" s="11">
        <v>42705</v>
      </c>
      <c r="O140" s="30" t="s">
        <v>74</v>
      </c>
      <c r="P140" s="9" t="s">
        <v>2117</v>
      </c>
      <c r="Q140" s="12" t="s">
        <v>38</v>
      </c>
      <c r="R140" s="12" t="s">
        <v>1445</v>
      </c>
      <c r="S140" s="9" t="s">
        <v>2118</v>
      </c>
      <c r="T140" s="9" t="s">
        <v>1447</v>
      </c>
      <c r="U140" s="9"/>
      <c r="V140" s="9"/>
      <c r="W140" s="13"/>
      <c r="X140" s="13"/>
      <c r="Y140" s="9"/>
      <c r="Z140" s="9"/>
      <c r="AA140" s="9"/>
      <c r="AB140" s="9" t="s">
        <v>48</v>
      </c>
      <c r="AC140" s="9" t="s">
        <v>48</v>
      </c>
      <c r="AD140" s="9" t="s">
        <v>48</v>
      </c>
      <c r="AE140" s="9" t="s">
        <v>48</v>
      </c>
    </row>
    <row r="141" spans="1:31">
      <c r="A141" s="6">
        <v>139</v>
      </c>
      <c r="B141" s="6" t="s">
        <v>2023</v>
      </c>
      <c r="C141" s="7"/>
      <c r="D141" s="8"/>
      <c r="E141" s="8"/>
      <c r="F141" s="9" t="s">
        <v>2024</v>
      </c>
      <c r="G141" s="9"/>
      <c r="H141" s="9" t="s">
        <v>76</v>
      </c>
      <c r="I141" s="9" t="s">
        <v>51</v>
      </c>
      <c r="J141" s="10" t="s">
        <v>2780</v>
      </c>
      <c r="K141" s="15" t="s">
        <v>982</v>
      </c>
      <c r="L141" s="9" t="s">
        <v>2016</v>
      </c>
      <c r="M141" s="9" t="s">
        <v>2017</v>
      </c>
      <c r="N141" s="11">
        <v>42705</v>
      </c>
      <c r="O141" s="9"/>
      <c r="P141" s="9"/>
      <c r="Q141" s="12" t="s">
        <v>56</v>
      </c>
      <c r="R141" s="12" t="s">
        <v>57</v>
      </c>
      <c r="S141" s="9" t="s">
        <v>2025</v>
      </c>
      <c r="T141" s="9" t="s">
        <v>1003</v>
      </c>
      <c r="U141" s="13" t="s">
        <v>2026</v>
      </c>
      <c r="V141" s="9" t="s">
        <v>61</v>
      </c>
      <c r="W141" s="32" t="s">
        <v>1025</v>
      </c>
      <c r="X141" s="32" t="s">
        <v>62</v>
      </c>
      <c r="Y141" s="9" t="s">
        <v>45</v>
      </c>
      <c r="Z141" s="9" t="s">
        <v>88</v>
      </c>
      <c r="AA141" s="13" t="s">
        <v>2027</v>
      </c>
      <c r="AB141" s="9" t="s">
        <v>48</v>
      </c>
      <c r="AC141" s="9" t="s">
        <v>48</v>
      </c>
      <c r="AD141" s="9" t="s">
        <v>48</v>
      </c>
      <c r="AE141" s="9" t="s">
        <v>48</v>
      </c>
    </row>
    <row r="142" spans="1:31">
      <c r="A142" s="6">
        <v>140</v>
      </c>
      <c r="B142" s="6" t="s">
        <v>1498</v>
      </c>
      <c r="C142" s="7"/>
      <c r="D142" s="8"/>
      <c r="E142" s="8"/>
      <c r="F142" s="9" t="s">
        <v>1499</v>
      </c>
      <c r="G142" s="9"/>
      <c r="H142" s="9" t="s">
        <v>76</v>
      </c>
      <c r="I142" s="9" t="s">
        <v>51</v>
      </c>
      <c r="J142" s="10" t="s">
        <v>1500</v>
      </c>
      <c r="K142" s="15" t="s">
        <v>982</v>
      </c>
      <c r="L142" s="9" t="s">
        <v>1466</v>
      </c>
      <c r="M142" s="9" t="s">
        <v>1467</v>
      </c>
      <c r="N142" s="11">
        <v>42705</v>
      </c>
      <c r="O142" s="9" t="s">
        <v>1501</v>
      </c>
      <c r="P142" s="10" t="s">
        <v>1502</v>
      </c>
      <c r="Q142" s="12" t="s">
        <v>56</v>
      </c>
      <c r="R142" s="12" t="s">
        <v>57</v>
      </c>
      <c r="S142" s="9" t="s">
        <v>1503</v>
      </c>
      <c r="T142" s="9" t="s">
        <v>1003</v>
      </c>
      <c r="U142" s="9" t="s">
        <v>1504</v>
      </c>
      <c r="V142" s="9" t="s">
        <v>61</v>
      </c>
      <c r="W142" s="32" t="s">
        <v>1025</v>
      </c>
      <c r="X142" s="32" t="s">
        <v>62</v>
      </c>
      <c r="Y142" s="9" t="s">
        <v>45</v>
      </c>
      <c r="Z142" s="9" t="s">
        <v>88</v>
      </c>
      <c r="AA142" s="9" t="s">
        <v>1505</v>
      </c>
      <c r="AB142" s="9" t="s">
        <v>48</v>
      </c>
      <c r="AC142" s="9" t="s">
        <v>48</v>
      </c>
      <c r="AD142" s="9" t="s">
        <v>48</v>
      </c>
      <c r="AE142" s="9" t="s">
        <v>48</v>
      </c>
    </row>
    <row r="143" spans="1:31">
      <c r="A143" s="6">
        <v>141</v>
      </c>
      <c r="B143" s="6" t="s">
        <v>1693</v>
      </c>
      <c r="C143" s="7"/>
      <c r="D143" s="8"/>
      <c r="E143" s="8"/>
      <c r="F143" s="9" t="s">
        <v>1694</v>
      </c>
      <c r="G143" s="9"/>
      <c r="H143" s="9" t="s">
        <v>76</v>
      </c>
      <c r="I143" s="9" t="s">
        <v>51</v>
      </c>
      <c r="J143" s="10" t="s">
        <v>1695</v>
      </c>
      <c r="K143" s="15" t="s">
        <v>982</v>
      </c>
      <c r="L143" s="9" t="s">
        <v>1659</v>
      </c>
      <c r="M143" s="9" t="s">
        <v>1672</v>
      </c>
      <c r="N143" s="11">
        <v>42705</v>
      </c>
      <c r="O143" s="9" t="s">
        <v>1696</v>
      </c>
      <c r="P143" s="10" t="s">
        <v>1697</v>
      </c>
      <c r="Q143" s="12" t="s">
        <v>56</v>
      </c>
      <c r="R143" s="12" t="s">
        <v>57</v>
      </c>
      <c r="S143" s="9" t="s">
        <v>1698</v>
      </c>
      <c r="T143" s="9" t="s">
        <v>1003</v>
      </c>
      <c r="U143" s="13" t="s">
        <v>1699</v>
      </c>
      <c r="V143" s="9" t="s">
        <v>61</v>
      </c>
      <c r="W143" s="32" t="s">
        <v>1025</v>
      </c>
      <c r="X143" s="32" t="s">
        <v>62</v>
      </c>
      <c r="Y143" s="9" t="s">
        <v>45</v>
      </c>
      <c r="Z143" s="9" t="s">
        <v>88</v>
      </c>
      <c r="AA143" s="13" t="s">
        <v>1700</v>
      </c>
      <c r="AB143" s="9" t="s">
        <v>48</v>
      </c>
      <c r="AC143" s="9" t="s">
        <v>48</v>
      </c>
      <c r="AD143" s="9" t="s">
        <v>48</v>
      </c>
      <c r="AE143" s="9" t="s">
        <v>48</v>
      </c>
    </row>
    <row r="144" spans="1:31">
      <c r="A144" s="6">
        <v>142</v>
      </c>
      <c r="B144" s="6" t="s">
        <v>1017</v>
      </c>
      <c r="C144" s="6" t="s">
        <v>978</v>
      </c>
      <c r="D144" s="16">
        <v>33</v>
      </c>
      <c r="E144" s="8" t="s">
        <v>1018</v>
      </c>
      <c r="F144" s="9" t="s">
        <v>1019</v>
      </c>
      <c r="G144" s="9"/>
      <c r="H144" s="9" t="s">
        <v>76</v>
      </c>
      <c r="I144" s="9" t="s">
        <v>51</v>
      </c>
      <c r="J144" s="10" t="s">
        <v>1020</v>
      </c>
      <c r="K144" s="15" t="s">
        <v>982</v>
      </c>
      <c r="L144" s="9" t="s">
        <v>983</v>
      </c>
      <c r="M144" s="9" t="s">
        <v>984</v>
      </c>
      <c r="N144" s="11">
        <v>42705</v>
      </c>
      <c r="O144" s="9" t="s">
        <v>1021</v>
      </c>
      <c r="P144" s="9" t="s">
        <v>1022</v>
      </c>
      <c r="Q144" s="12" t="s">
        <v>56</v>
      </c>
      <c r="R144" s="12" t="s">
        <v>57</v>
      </c>
      <c r="S144" s="9" t="s">
        <v>1023</v>
      </c>
      <c r="T144" s="9" t="s">
        <v>1003</v>
      </c>
      <c r="U144" s="9" t="s">
        <v>1024</v>
      </c>
      <c r="V144" s="9" t="s">
        <v>61</v>
      </c>
      <c r="W144" s="32" t="s">
        <v>1025</v>
      </c>
      <c r="X144" s="32" t="s">
        <v>62</v>
      </c>
      <c r="Y144" s="9" t="s">
        <v>45</v>
      </c>
      <c r="Z144" s="9" t="s">
        <v>88</v>
      </c>
      <c r="AA144" s="9" t="s">
        <v>1026</v>
      </c>
      <c r="AB144" s="9" t="s">
        <v>48</v>
      </c>
      <c r="AC144" s="9" t="s">
        <v>48</v>
      </c>
      <c r="AD144" s="9" t="s">
        <v>48</v>
      </c>
      <c r="AE144" s="9" t="s">
        <v>48</v>
      </c>
    </row>
    <row r="145" spans="1:31">
      <c r="A145" s="6">
        <v>143</v>
      </c>
      <c r="B145" s="6" t="s">
        <v>1775</v>
      </c>
      <c r="C145" s="6" t="s">
        <v>978</v>
      </c>
      <c r="D145" s="16">
        <v>19</v>
      </c>
      <c r="E145" s="16" t="s">
        <v>1776</v>
      </c>
      <c r="F145" s="9" t="s">
        <v>1777</v>
      </c>
      <c r="G145" s="9"/>
      <c r="H145" s="9" t="s">
        <v>76</v>
      </c>
      <c r="I145" s="9" t="s">
        <v>51</v>
      </c>
      <c r="J145" s="10" t="s">
        <v>1778</v>
      </c>
      <c r="K145" s="15" t="s">
        <v>982</v>
      </c>
      <c r="L145" s="9" t="s">
        <v>209</v>
      </c>
      <c r="M145" s="9" t="s">
        <v>2753</v>
      </c>
      <c r="N145" s="11">
        <v>42705</v>
      </c>
      <c r="O145" s="9" t="s">
        <v>1779</v>
      </c>
      <c r="P145" s="9" t="s">
        <v>1780</v>
      </c>
      <c r="Q145" s="12" t="s">
        <v>56</v>
      </c>
      <c r="R145" s="12" t="s">
        <v>57</v>
      </c>
      <c r="S145" s="9" t="s">
        <v>1781</v>
      </c>
      <c r="T145" s="9" t="s">
        <v>1003</v>
      </c>
      <c r="U145" s="9" t="s">
        <v>1782</v>
      </c>
      <c r="V145" s="9" t="s">
        <v>61</v>
      </c>
      <c r="W145" s="32" t="s">
        <v>1025</v>
      </c>
      <c r="X145" s="32" t="s">
        <v>62</v>
      </c>
      <c r="Y145" s="9" t="s">
        <v>45</v>
      </c>
      <c r="Z145" s="9" t="s">
        <v>88</v>
      </c>
      <c r="AA145" s="9" t="s">
        <v>1783</v>
      </c>
      <c r="AB145" s="9" t="s">
        <v>48</v>
      </c>
      <c r="AC145" s="9" t="s">
        <v>48</v>
      </c>
      <c r="AD145" s="9" t="s">
        <v>48</v>
      </c>
      <c r="AE145" s="9" t="s">
        <v>48</v>
      </c>
    </row>
    <row r="146" spans="1:31">
      <c r="A146" s="6">
        <v>144</v>
      </c>
      <c r="B146" s="6" t="s">
        <v>2119</v>
      </c>
      <c r="C146" s="6" t="s">
        <v>1536</v>
      </c>
      <c r="D146" s="16">
        <v>40</v>
      </c>
      <c r="E146" s="16" t="s">
        <v>2120</v>
      </c>
      <c r="F146" s="9" t="s">
        <v>2121</v>
      </c>
      <c r="G146" s="9"/>
      <c r="H146" s="9" t="s">
        <v>76</v>
      </c>
      <c r="I146" s="9" t="s">
        <v>51</v>
      </c>
      <c r="J146" s="10" t="s">
        <v>407</v>
      </c>
      <c r="K146" s="15" t="s">
        <v>982</v>
      </c>
      <c r="L146" s="9" t="s">
        <v>53</v>
      </c>
      <c r="M146" s="9" t="s">
        <v>984</v>
      </c>
      <c r="N146" s="11">
        <v>42705</v>
      </c>
      <c r="O146" s="9" t="s">
        <v>2122</v>
      </c>
      <c r="P146" s="10" t="s">
        <v>2123</v>
      </c>
      <c r="Q146" s="12" t="s">
        <v>56</v>
      </c>
      <c r="R146" s="12" t="s">
        <v>57</v>
      </c>
      <c r="S146" s="9" t="s">
        <v>2124</v>
      </c>
      <c r="T146" s="9" t="s">
        <v>1003</v>
      </c>
      <c r="U146" s="9" t="s">
        <v>2125</v>
      </c>
      <c r="V146" s="9" t="s">
        <v>61</v>
      </c>
      <c r="W146" s="32" t="s">
        <v>1025</v>
      </c>
      <c r="X146" s="32" t="s">
        <v>62</v>
      </c>
      <c r="Y146" s="9" t="s">
        <v>45</v>
      </c>
      <c r="Z146" s="9" t="s">
        <v>88</v>
      </c>
      <c r="AA146" s="9" t="s">
        <v>2126</v>
      </c>
      <c r="AB146" s="9" t="s">
        <v>48</v>
      </c>
      <c r="AC146" s="9" t="s">
        <v>48</v>
      </c>
      <c r="AD146" s="9" t="s">
        <v>48</v>
      </c>
      <c r="AE146" s="9" t="s">
        <v>48</v>
      </c>
    </row>
    <row r="147" spans="1:31">
      <c r="A147" s="6">
        <v>145</v>
      </c>
      <c r="B147" s="6" t="s">
        <v>2127</v>
      </c>
      <c r="C147" s="7"/>
      <c r="D147" s="8"/>
      <c r="E147" s="8"/>
      <c r="F147" s="9" t="s">
        <v>2128</v>
      </c>
      <c r="G147" s="9"/>
      <c r="H147" s="9" t="s">
        <v>76</v>
      </c>
      <c r="I147" s="9" t="s">
        <v>51</v>
      </c>
      <c r="J147" s="10" t="s">
        <v>2129</v>
      </c>
      <c r="K147" s="15" t="s">
        <v>982</v>
      </c>
      <c r="L147" s="9" t="s">
        <v>53</v>
      </c>
      <c r="M147" s="9" t="s">
        <v>984</v>
      </c>
      <c r="N147" s="11">
        <v>42705</v>
      </c>
      <c r="O147" s="9" t="s">
        <v>2130</v>
      </c>
      <c r="P147" s="9" t="s">
        <v>2131</v>
      </c>
      <c r="Q147" s="12" t="s">
        <v>56</v>
      </c>
      <c r="R147" s="12" t="s">
        <v>57</v>
      </c>
      <c r="S147" s="9" t="s">
        <v>2132</v>
      </c>
      <c r="T147" s="9" t="s">
        <v>1003</v>
      </c>
      <c r="U147" s="32" t="s">
        <v>2133</v>
      </c>
      <c r="V147" s="9" t="s">
        <v>61</v>
      </c>
      <c r="W147" s="32" t="s">
        <v>1025</v>
      </c>
      <c r="X147" s="32" t="s">
        <v>62</v>
      </c>
      <c r="Y147" s="9" t="s">
        <v>45</v>
      </c>
      <c r="Z147" s="9" t="s">
        <v>88</v>
      </c>
      <c r="AA147" s="9" t="s">
        <v>2134</v>
      </c>
      <c r="AB147" s="9" t="s">
        <v>48</v>
      </c>
      <c r="AC147" s="9" t="s">
        <v>48</v>
      </c>
      <c r="AD147" s="9" t="s">
        <v>48</v>
      </c>
      <c r="AE147" s="9" t="s">
        <v>48</v>
      </c>
    </row>
    <row r="148" spans="1:31">
      <c r="A148" s="6">
        <v>146</v>
      </c>
      <c r="B148" s="6" t="s">
        <v>1506</v>
      </c>
      <c r="C148" s="7"/>
      <c r="D148" s="8"/>
      <c r="E148" s="8"/>
      <c r="F148" s="9" t="s">
        <v>1507</v>
      </c>
      <c r="G148" s="9"/>
      <c r="H148" s="9" t="s">
        <v>76</v>
      </c>
      <c r="I148" s="9" t="s">
        <v>51</v>
      </c>
      <c r="J148" s="10" t="s">
        <v>2781</v>
      </c>
      <c r="K148" s="15" t="s">
        <v>1374</v>
      </c>
      <c r="L148" s="9" t="s">
        <v>1466</v>
      </c>
      <c r="M148" s="9" t="s">
        <v>2782</v>
      </c>
      <c r="N148" s="11">
        <v>42705</v>
      </c>
      <c r="O148" s="9" t="s">
        <v>1509</v>
      </c>
      <c r="P148" s="10" t="s">
        <v>1510</v>
      </c>
      <c r="Q148" s="12" t="s">
        <v>56</v>
      </c>
      <c r="R148" s="12" t="s">
        <v>57</v>
      </c>
      <c r="S148" s="9" t="s">
        <v>1511</v>
      </c>
      <c r="T148" s="9" t="s">
        <v>1003</v>
      </c>
      <c r="U148" s="32" t="s">
        <v>1512</v>
      </c>
      <c r="V148" s="9" t="s">
        <v>61</v>
      </c>
      <c r="W148" s="32" t="s">
        <v>1025</v>
      </c>
      <c r="X148" s="32" t="s">
        <v>62</v>
      </c>
      <c r="Y148" s="9" t="s">
        <v>45</v>
      </c>
      <c r="Z148" s="9" t="s">
        <v>88</v>
      </c>
      <c r="AA148" s="9" t="s">
        <v>1513</v>
      </c>
      <c r="AB148" s="9" t="s">
        <v>48</v>
      </c>
      <c r="AC148" s="9" t="s">
        <v>48</v>
      </c>
      <c r="AD148" s="9" t="s">
        <v>48</v>
      </c>
      <c r="AE148" s="9" t="s">
        <v>48</v>
      </c>
    </row>
    <row r="149" spans="1:31">
      <c r="A149" s="6">
        <v>147</v>
      </c>
      <c r="B149" s="6" t="s">
        <v>2320</v>
      </c>
      <c r="C149" s="20" t="s">
        <v>2310</v>
      </c>
      <c r="D149" s="16">
        <v>4</v>
      </c>
      <c r="E149" s="16" t="s">
        <v>2258</v>
      </c>
      <c r="F149" s="9" t="s">
        <v>2321</v>
      </c>
      <c r="G149" s="9"/>
      <c r="H149" s="9" t="s">
        <v>76</v>
      </c>
      <c r="I149" s="9" t="s">
        <v>51</v>
      </c>
      <c r="J149" s="10" t="s">
        <v>2783</v>
      </c>
      <c r="K149" s="15" t="s">
        <v>982</v>
      </c>
      <c r="L149" s="9" t="s">
        <v>181</v>
      </c>
      <c r="M149" s="9" t="s">
        <v>2538</v>
      </c>
      <c r="N149" s="11">
        <v>42705</v>
      </c>
      <c r="O149" s="9" t="s">
        <v>2323</v>
      </c>
      <c r="P149" s="10" t="s">
        <v>2324</v>
      </c>
      <c r="Q149" s="12" t="s">
        <v>56</v>
      </c>
      <c r="R149" s="12" t="s">
        <v>57</v>
      </c>
      <c r="S149" s="9" t="s">
        <v>2325</v>
      </c>
      <c r="T149" s="9" t="s">
        <v>1003</v>
      </c>
      <c r="U149" s="9" t="s">
        <v>2326</v>
      </c>
      <c r="V149" s="9" t="s">
        <v>61</v>
      </c>
      <c r="W149" s="32" t="s">
        <v>1025</v>
      </c>
      <c r="X149" s="32" t="s">
        <v>62</v>
      </c>
      <c r="Y149" s="9" t="s">
        <v>45</v>
      </c>
      <c r="Z149" s="9" t="s">
        <v>88</v>
      </c>
      <c r="AA149" s="9" t="s">
        <v>587</v>
      </c>
      <c r="AB149" s="9" t="s">
        <v>48</v>
      </c>
      <c r="AC149" s="9" t="s">
        <v>48</v>
      </c>
      <c r="AD149" s="9" t="s">
        <v>48</v>
      </c>
      <c r="AE149" s="9" t="s">
        <v>48</v>
      </c>
    </row>
    <row r="150" spans="1:31">
      <c r="A150" s="6">
        <v>148</v>
      </c>
      <c r="B150" s="6" t="s">
        <v>1599</v>
      </c>
      <c r="C150" s="27" t="s">
        <v>1600</v>
      </c>
      <c r="D150" s="28" t="s">
        <v>1601</v>
      </c>
      <c r="E150" s="8" t="s">
        <v>1602</v>
      </c>
      <c r="F150" s="9" t="s">
        <v>1603</v>
      </c>
      <c r="G150" s="9"/>
      <c r="H150" s="9" t="s">
        <v>76</v>
      </c>
      <c r="I150" s="9" t="s">
        <v>51</v>
      </c>
      <c r="J150" s="10" t="s">
        <v>456</v>
      </c>
      <c r="K150" s="15" t="s">
        <v>982</v>
      </c>
      <c r="L150" s="9" t="s">
        <v>199</v>
      </c>
      <c r="M150" s="9" t="s">
        <v>2784</v>
      </c>
      <c r="N150" s="11">
        <v>42705</v>
      </c>
      <c r="O150" s="9" t="s">
        <v>1604</v>
      </c>
      <c r="P150" s="9" t="s">
        <v>1605</v>
      </c>
      <c r="Q150" s="12" t="s">
        <v>56</v>
      </c>
      <c r="R150" s="12" t="s">
        <v>57</v>
      </c>
      <c r="S150" s="9" t="s">
        <v>1606</v>
      </c>
      <c r="T150" s="9" t="s">
        <v>1003</v>
      </c>
      <c r="U150" s="32" t="s">
        <v>1607</v>
      </c>
      <c r="V150" s="9" t="s">
        <v>61</v>
      </c>
      <c r="W150" s="32" t="s">
        <v>1025</v>
      </c>
      <c r="X150" s="32" t="s">
        <v>62</v>
      </c>
      <c r="Y150" s="9" t="s">
        <v>45</v>
      </c>
      <c r="Z150" s="9" t="s">
        <v>88</v>
      </c>
      <c r="AA150" s="32" t="s">
        <v>1608</v>
      </c>
      <c r="AB150" s="9" t="s">
        <v>48</v>
      </c>
      <c r="AC150" s="9" t="s">
        <v>48</v>
      </c>
      <c r="AD150" s="9" t="s">
        <v>48</v>
      </c>
      <c r="AE150" s="9" t="s">
        <v>48</v>
      </c>
    </row>
    <row r="151" spans="1:31">
      <c r="A151" s="6">
        <v>149</v>
      </c>
      <c r="B151" s="6" t="s">
        <v>1027</v>
      </c>
      <c r="C151" s="6" t="s">
        <v>978</v>
      </c>
      <c r="D151" s="16">
        <v>38</v>
      </c>
      <c r="E151" s="16" t="s">
        <v>1028</v>
      </c>
      <c r="F151" s="9" t="s">
        <v>1029</v>
      </c>
      <c r="G151" s="9"/>
      <c r="H151" s="9" t="s">
        <v>76</v>
      </c>
      <c r="I151" s="9" t="s">
        <v>51</v>
      </c>
      <c r="J151" s="10" t="s">
        <v>1030</v>
      </c>
      <c r="K151" s="15" t="s">
        <v>982</v>
      </c>
      <c r="L151" s="9" t="s">
        <v>983</v>
      </c>
      <c r="M151" s="9" t="s">
        <v>984</v>
      </c>
      <c r="N151" s="11">
        <v>42705</v>
      </c>
      <c r="O151" s="9" t="s">
        <v>1031</v>
      </c>
      <c r="P151" s="10" t="s">
        <v>1032</v>
      </c>
      <c r="Q151" s="12" t="s">
        <v>56</v>
      </c>
      <c r="R151" s="12" t="s">
        <v>57</v>
      </c>
      <c r="S151" s="9" t="s">
        <v>1033</v>
      </c>
      <c r="T151" s="9" t="s">
        <v>1003</v>
      </c>
      <c r="U151" s="9" t="s">
        <v>1034</v>
      </c>
      <c r="V151" s="9" t="s">
        <v>61</v>
      </c>
      <c r="W151" s="32" t="s">
        <v>1025</v>
      </c>
      <c r="X151" s="32" t="s">
        <v>62</v>
      </c>
      <c r="Y151" s="9" t="s">
        <v>45</v>
      </c>
      <c r="Z151" s="9" t="s">
        <v>88</v>
      </c>
      <c r="AA151" s="9" t="s">
        <v>1035</v>
      </c>
      <c r="AB151" s="9" t="s">
        <v>48</v>
      </c>
      <c r="AC151" s="9" t="s">
        <v>48</v>
      </c>
      <c r="AD151" s="9" t="s">
        <v>48</v>
      </c>
      <c r="AE151" s="9" t="s">
        <v>48</v>
      </c>
    </row>
    <row r="152" spans="1:31">
      <c r="A152" s="6">
        <v>150</v>
      </c>
      <c r="B152" s="6" t="s">
        <v>2327</v>
      </c>
      <c r="C152" s="7"/>
      <c r="D152" s="8"/>
      <c r="E152" s="8"/>
      <c r="F152" s="9" t="s">
        <v>2328</v>
      </c>
      <c r="G152" s="9"/>
      <c r="H152" s="9" t="s">
        <v>76</v>
      </c>
      <c r="I152" s="9" t="s">
        <v>51</v>
      </c>
      <c r="J152" s="10" t="s">
        <v>2329</v>
      </c>
      <c r="K152" s="15" t="s">
        <v>982</v>
      </c>
      <c r="L152" s="9" t="s">
        <v>181</v>
      </c>
      <c r="M152" s="9" t="s">
        <v>2538</v>
      </c>
      <c r="N152" s="11">
        <v>42705</v>
      </c>
      <c r="O152" s="9" t="s">
        <v>2330</v>
      </c>
      <c r="P152" s="10" t="s">
        <v>2331</v>
      </c>
      <c r="Q152" s="12" t="s">
        <v>56</v>
      </c>
      <c r="R152" s="12" t="s">
        <v>57</v>
      </c>
      <c r="S152" s="9" t="s">
        <v>2332</v>
      </c>
      <c r="T152" s="9" t="s">
        <v>1003</v>
      </c>
      <c r="U152" s="32" t="s">
        <v>2333</v>
      </c>
      <c r="V152" s="9" t="s">
        <v>61</v>
      </c>
      <c r="W152" s="32" t="s">
        <v>1025</v>
      </c>
      <c r="X152" s="32" t="s">
        <v>62</v>
      </c>
      <c r="Y152" s="9" t="s">
        <v>45</v>
      </c>
      <c r="Z152" s="9" t="s">
        <v>88</v>
      </c>
      <c r="AA152" s="9" t="s">
        <v>2334</v>
      </c>
      <c r="AB152" s="9" t="s">
        <v>48</v>
      </c>
      <c r="AC152" s="9" t="s">
        <v>48</v>
      </c>
      <c r="AD152" s="9" t="s">
        <v>48</v>
      </c>
      <c r="AE152" s="9" t="s">
        <v>48</v>
      </c>
    </row>
    <row r="153" spans="1:31">
      <c r="A153" s="6">
        <v>151</v>
      </c>
      <c r="B153" s="6" t="s">
        <v>1954</v>
      </c>
      <c r="C153" s="7"/>
      <c r="D153" s="8"/>
      <c r="E153" s="8"/>
      <c r="F153" t="s">
        <v>1955</v>
      </c>
      <c r="G153" s="9"/>
      <c r="H153" s="9" t="s">
        <v>76</v>
      </c>
      <c r="I153" s="9" t="s">
        <v>51</v>
      </c>
      <c r="J153" s="10" t="s">
        <v>2785</v>
      </c>
      <c r="K153" s="15" t="s">
        <v>982</v>
      </c>
      <c r="L153" s="9" t="s">
        <v>79</v>
      </c>
      <c r="M153" s="9" t="s">
        <v>1867</v>
      </c>
      <c r="N153" s="11">
        <v>42705</v>
      </c>
      <c r="O153" s="9"/>
      <c r="P153" s="9" t="s">
        <v>1957</v>
      </c>
      <c r="Q153" t="s">
        <v>56</v>
      </c>
      <c r="R153" t="s">
        <v>57</v>
      </c>
      <c r="S153" t="s">
        <v>1958</v>
      </c>
      <c r="T153" s="9" t="s">
        <v>1003</v>
      </c>
      <c r="U153" s="32" t="s">
        <v>1959</v>
      </c>
      <c r="V153" s="9" t="s">
        <v>61</v>
      </c>
      <c r="W153" s="32" t="s">
        <v>1025</v>
      </c>
      <c r="X153" s="32" t="s">
        <v>62</v>
      </c>
      <c r="Y153" s="9" t="s">
        <v>45</v>
      </c>
      <c r="Z153" s="9" t="s">
        <v>88</v>
      </c>
      <c r="AA153" s="9" t="s">
        <v>581</v>
      </c>
      <c r="AB153" s="9" t="s">
        <v>48</v>
      </c>
      <c r="AC153" s="9" t="s">
        <v>48</v>
      </c>
      <c r="AD153" s="9" t="s">
        <v>48</v>
      </c>
      <c r="AE153" s="9" t="s">
        <v>48</v>
      </c>
    </row>
    <row r="154" spans="1:31">
      <c r="A154" s="6">
        <v>152</v>
      </c>
      <c r="B154" s="6" t="s">
        <v>2257</v>
      </c>
      <c r="C154" s="6" t="s">
        <v>1127</v>
      </c>
      <c r="D154" s="16">
        <v>4</v>
      </c>
      <c r="E154" s="16" t="s">
        <v>2258</v>
      </c>
      <c r="F154" s="9" t="s">
        <v>2259</v>
      </c>
      <c r="G154" s="9"/>
      <c r="H154" s="9" t="s">
        <v>76</v>
      </c>
      <c r="I154" s="9" t="s">
        <v>51</v>
      </c>
      <c r="J154" s="10" t="s">
        <v>2260</v>
      </c>
      <c r="K154" s="15" t="s">
        <v>982</v>
      </c>
      <c r="L154" s="9" t="s">
        <v>91</v>
      </c>
      <c r="M154" s="9" t="s">
        <v>2017</v>
      </c>
      <c r="N154" s="11">
        <v>42705</v>
      </c>
      <c r="O154" s="9" t="s">
        <v>2261</v>
      </c>
      <c r="P154" s="10" t="s">
        <v>2262</v>
      </c>
      <c r="Q154" s="12" t="s">
        <v>56</v>
      </c>
      <c r="R154" s="12" t="s">
        <v>57</v>
      </c>
      <c r="S154" s="9" t="s">
        <v>2263</v>
      </c>
      <c r="T154" s="9" t="s">
        <v>1003</v>
      </c>
      <c r="U154" s="32" t="s">
        <v>2264</v>
      </c>
      <c r="V154" s="9" t="s">
        <v>61</v>
      </c>
      <c r="W154" s="32" t="s">
        <v>1025</v>
      </c>
      <c r="X154" s="32" t="s">
        <v>62</v>
      </c>
      <c r="Y154" s="9" t="s">
        <v>45</v>
      </c>
      <c r="Z154" s="9" t="s">
        <v>88</v>
      </c>
      <c r="AA154" s="32" t="s">
        <v>2265</v>
      </c>
      <c r="AB154" s="9" t="s">
        <v>48</v>
      </c>
      <c r="AC154" s="9" t="s">
        <v>48</v>
      </c>
      <c r="AD154" s="9" t="s">
        <v>48</v>
      </c>
      <c r="AE154" s="9" t="s">
        <v>48</v>
      </c>
    </row>
    <row r="155" spans="1:31">
      <c r="A155" s="6">
        <v>153</v>
      </c>
      <c r="B155" s="6" t="s">
        <v>1036</v>
      </c>
      <c r="C155" s="6" t="s">
        <v>978</v>
      </c>
      <c r="D155" s="16">
        <v>37</v>
      </c>
      <c r="E155" s="16" t="s">
        <v>1037</v>
      </c>
      <c r="F155" s="9" t="s">
        <v>1038</v>
      </c>
      <c r="G155" s="9"/>
      <c r="H155" s="9" t="s">
        <v>76</v>
      </c>
      <c r="I155" s="9" t="s">
        <v>51</v>
      </c>
      <c r="J155" s="10" t="s">
        <v>1039</v>
      </c>
      <c r="K155" s="15" t="s">
        <v>982</v>
      </c>
      <c r="L155" s="9" t="s">
        <v>983</v>
      </c>
      <c r="M155" s="9" t="s">
        <v>984</v>
      </c>
      <c r="N155" s="11">
        <v>42705</v>
      </c>
      <c r="O155" s="9" t="s">
        <v>54</v>
      </c>
      <c r="P155" s="9" t="s">
        <v>55</v>
      </c>
      <c r="Q155" s="12" t="s">
        <v>56</v>
      </c>
      <c r="R155" s="12" t="s">
        <v>57</v>
      </c>
      <c r="S155" s="9" t="s">
        <v>58</v>
      </c>
      <c r="T155" s="9" t="s">
        <v>41</v>
      </c>
      <c r="U155" s="32" t="s">
        <v>60</v>
      </c>
      <c r="V155" s="9" t="s">
        <v>61</v>
      </c>
      <c r="W155" s="32" t="s">
        <v>1025</v>
      </c>
      <c r="X155" s="32" t="s">
        <v>62</v>
      </c>
      <c r="Y155" s="9" t="s">
        <v>45</v>
      </c>
      <c r="Z155" s="9" t="s">
        <v>88</v>
      </c>
      <c r="AA155" s="9" t="s">
        <v>718</v>
      </c>
      <c r="AB155" s="9" t="s">
        <v>48</v>
      </c>
      <c r="AC155" s="9" t="s">
        <v>48</v>
      </c>
      <c r="AD155" s="9" t="s">
        <v>48</v>
      </c>
      <c r="AE155" s="9" t="s">
        <v>48</v>
      </c>
    </row>
    <row r="156" spans="1:31">
      <c r="A156" s="6">
        <v>154</v>
      </c>
      <c r="B156" s="6" t="s">
        <v>1559</v>
      </c>
      <c r="C156" s="7"/>
      <c r="D156" s="8"/>
      <c r="E156" s="8"/>
      <c r="F156" s="9" t="s">
        <v>1560</v>
      </c>
      <c r="G156" s="9"/>
      <c r="H156" s="9" t="s">
        <v>76</v>
      </c>
      <c r="I156" s="9" t="s">
        <v>51</v>
      </c>
      <c r="J156" s="10" t="s">
        <v>2786</v>
      </c>
      <c r="K156" s="15" t="s">
        <v>34</v>
      </c>
      <c r="L156" s="9" t="s">
        <v>1562</v>
      </c>
      <c r="M156" s="9" t="s">
        <v>1352</v>
      </c>
      <c r="N156" s="11">
        <v>42705</v>
      </c>
      <c r="O156" s="9" t="s">
        <v>1563</v>
      </c>
      <c r="P156" s="10" t="s">
        <v>1564</v>
      </c>
      <c r="Q156" s="12" t="s">
        <v>56</v>
      </c>
      <c r="R156" s="12" t="s">
        <v>57</v>
      </c>
      <c r="S156" s="9" t="s">
        <v>1565</v>
      </c>
      <c r="T156" s="9" t="s">
        <v>1003</v>
      </c>
      <c r="U156" s="9" t="s">
        <v>1566</v>
      </c>
      <c r="V156" s="9" t="s">
        <v>61</v>
      </c>
      <c r="W156" s="32" t="s">
        <v>1025</v>
      </c>
      <c r="X156" s="32" t="s">
        <v>62</v>
      </c>
      <c r="Y156" s="9" t="s">
        <v>45</v>
      </c>
      <c r="Z156" s="9" t="s">
        <v>88</v>
      </c>
      <c r="AA156" s="9" t="s">
        <v>699</v>
      </c>
      <c r="AB156" s="9" t="s">
        <v>48</v>
      </c>
      <c r="AC156" s="9" t="s">
        <v>48</v>
      </c>
      <c r="AD156" s="9" t="s">
        <v>48</v>
      </c>
      <c r="AE156" s="9" t="s">
        <v>48</v>
      </c>
    </row>
    <row r="157" spans="1:31">
      <c r="A157" s="6">
        <v>155</v>
      </c>
      <c r="B157" s="6" t="s">
        <v>1701</v>
      </c>
      <c r="C157" s="7"/>
      <c r="D157" s="8"/>
      <c r="E157" s="8"/>
      <c r="F157" s="9" t="s">
        <v>1702</v>
      </c>
      <c r="G157" s="9"/>
      <c r="H157" s="9" t="s">
        <v>76</v>
      </c>
      <c r="I157" s="9" t="s">
        <v>51</v>
      </c>
      <c r="J157" s="10" t="s">
        <v>2787</v>
      </c>
      <c r="K157" s="15" t="s">
        <v>982</v>
      </c>
      <c r="L157" s="9" t="s">
        <v>1659</v>
      </c>
      <c r="M157" s="9" t="s">
        <v>1672</v>
      </c>
      <c r="N157" s="11">
        <v>42705</v>
      </c>
      <c r="O157" s="30" t="s">
        <v>1704</v>
      </c>
      <c r="P157" s="10" t="s">
        <v>1705</v>
      </c>
      <c r="Q157" s="12" t="s">
        <v>56</v>
      </c>
      <c r="R157" s="12" t="s">
        <v>57</v>
      </c>
      <c r="S157" s="9" t="s">
        <v>1706</v>
      </c>
      <c r="T157" s="9" t="s">
        <v>1003</v>
      </c>
      <c r="U157" s="9" t="s">
        <v>1707</v>
      </c>
      <c r="V157" s="9" t="s">
        <v>61</v>
      </c>
      <c r="W157" s="32" t="s">
        <v>1025</v>
      </c>
      <c r="X157" s="32" t="s">
        <v>62</v>
      </c>
      <c r="Y157" s="9" t="s">
        <v>45</v>
      </c>
      <c r="Z157" s="9" t="s">
        <v>88</v>
      </c>
      <c r="AA157" s="13" t="s">
        <v>1708</v>
      </c>
      <c r="AB157" s="9" t="s">
        <v>48</v>
      </c>
      <c r="AC157" s="9" t="s">
        <v>48</v>
      </c>
      <c r="AD157" s="9" t="s">
        <v>48</v>
      </c>
      <c r="AE157" s="9" t="s">
        <v>48</v>
      </c>
    </row>
    <row r="158" spans="1:31">
      <c r="A158" s="6">
        <v>156</v>
      </c>
      <c r="B158" s="6" t="s">
        <v>1709</v>
      </c>
      <c r="C158" s="7"/>
      <c r="D158" s="8"/>
      <c r="E158" s="8"/>
      <c r="F158" s="9" t="s">
        <v>1710</v>
      </c>
      <c r="G158" s="9"/>
      <c r="H158" s="9" t="s">
        <v>76</v>
      </c>
      <c r="I158" s="9" t="s">
        <v>51</v>
      </c>
      <c r="J158" s="10" t="s">
        <v>247</v>
      </c>
      <c r="K158" s="15" t="s">
        <v>982</v>
      </c>
      <c r="L158" s="9" t="s">
        <v>1659</v>
      </c>
      <c r="M158" s="9" t="s">
        <v>1672</v>
      </c>
      <c r="N158" s="11">
        <v>42705</v>
      </c>
      <c r="O158" s="9" t="s">
        <v>1711</v>
      </c>
      <c r="P158" s="10" t="s">
        <v>1712</v>
      </c>
      <c r="Q158" s="12" t="s">
        <v>56</v>
      </c>
      <c r="R158" s="12" t="s">
        <v>57</v>
      </c>
      <c r="S158" s="9" t="s">
        <v>1713</v>
      </c>
      <c r="T158" s="9" t="s">
        <v>1003</v>
      </c>
      <c r="U158" s="9" t="s">
        <v>1714</v>
      </c>
      <c r="V158" s="9" t="s">
        <v>61</v>
      </c>
      <c r="W158" s="32" t="s">
        <v>1025</v>
      </c>
      <c r="X158" s="32" t="s">
        <v>62</v>
      </c>
      <c r="Y158" s="9" t="s">
        <v>45</v>
      </c>
      <c r="Z158" s="9" t="s">
        <v>88</v>
      </c>
      <c r="AA158" s="9" t="s">
        <v>1715</v>
      </c>
      <c r="AB158" s="9" t="s">
        <v>48</v>
      </c>
      <c r="AC158" s="9" t="s">
        <v>48</v>
      </c>
      <c r="AD158" s="9" t="s">
        <v>48</v>
      </c>
      <c r="AE158" s="9" t="s">
        <v>48</v>
      </c>
    </row>
    <row r="159" spans="1:31">
      <c r="A159" s="6">
        <v>157</v>
      </c>
      <c r="B159" s="6" t="s">
        <v>1548</v>
      </c>
      <c r="C159" s="7"/>
      <c r="D159" s="8"/>
      <c r="E159" s="8"/>
      <c r="F159" s="9" t="s">
        <v>1549</v>
      </c>
      <c r="G159" s="9"/>
      <c r="H159" s="9" t="s">
        <v>76</v>
      </c>
      <c r="I159" s="9" t="s">
        <v>51</v>
      </c>
      <c r="J159" s="10" t="s">
        <v>451</v>
      </c>
      <c r="K159" s="15" t="s">
        <v>34</v>
      </c>
      <c r="L159" s="9" t="s">
        <v>1524</v>
      </c>
      <c r="M159" s="9" t="s">
        <v>1525</v>
      </c>
      <c r="N159" s="11">
        <v>42705</v>
      </c>
      <c r="O159" s="9" t="s">
        <v>1550</v>
      </c>
      <c r="P159" s="10" t="s">
        <v>1551</v>
      </c>
      <c r="Q159" s="12" t="s">
        <v>56</v>
      </c>
      <c r="R159" s="12" t="s">
        <v>57</v>
      </c>
      <c r="S159" s="9" t="s">
        <v>1552</v>
      </c>
      <c r="T159" s="9" t="s">
        <v>1003</v>
      </c>
      <c r="U159" s="13" t="s">
        <v>1553</v>
      </c>
      <c r="V159" s="9" t="s">
        <v>61</v>
      </c>
      <c r="W159" s="32" t="s">
        <v>1025</v>
      </c>
      <c r="X159" s="32" t="s">
        <v>62</v>
      </c>
      <c r="Y159" s="9" t="s">
        <v>45</v>
      </c>
      <c r="Z159" s="9" t="s">
        <v>88</v>
      </c>
      <c r="AA159" s="13" t="s">
        <v>1554</v>
      </c>
      <c r="AB159" s="9" t="s">
        <v>48</v>
      </c>
      <c r="AC159" s="9" t="s">
        <v>48</v>
      </c>
      <c r="AD159" s="9" t="s">
        <v>48</v>
      </c>
      <c r="AE159" s="9" t="s">
        <v>48</v>
      </c>
    </row>
    <row r="160" spans="1:31">
      <c r="A160" s="6">
        <v>158</v>
      </c>
      <c r="B160" s="6" t="s">
        <v>1784</v>
      </c>
      <c r="C160" s="6" t="s">
        <v>1785</v>
      </c>
      <c r="D160" s="16" t="s">
        <v>1785</v>
      </c>
      <c r="E160" s="16" t="s">
        <v>1786</v>
      </c>
      <c r="F160" s="9" t="s">
        <v>1787</v>
      </c>
      <c r="G160" s="9"/>
      <c r="H160" s="9" t="s">
        <v>76</v>
      </c>
      <c r="I160" s="9" t="s">
        <v>51</v>
      </c>
      <c r="J160" s="10" t="s">
        <v>1788</v>
      </c>
      <c r="K160" s="15" t="s">
        <v>982</v>
      </c>
      <c r="L160" s="9" t="s">
        <v>209</v>
      </c>
      <c r="M160" s="9" t="s">
        <v>2753</v>
      </c>
      <c r="N160" s="11">
        <v>42705</v>
      </c>
      <c r="O160" s="9" t="s">
        <v>1789</v>
      </c>
      <c r="P160" s="9" t="s">
        <v>1790</v>
      </c>
      <c r="Q160" s="12" t="s">
        <v>56</v>
      </c>
      <c r="R160" s="12" t="s">
        <v>57</v>
      </c>
      <c r="S160" s="9" t="s">
        <v>1791</v>
      </c>
      <c r="T160" s="9" t="s">
        <v>1003</v>
      </c>
      <c r="U160" s="32" t="s">
        <v>1792</v>
      </c>
      <c r="V160" s="9" t="s">
        <v>61</v>
      </c>
      <c r="W160" s="32" t="s">
        <v>1025</v>
      </c>
      <c r="X160" s="32" t="s">
        <v>62</v>
      </c>
      <c r="Y160" s="9" t="s">
        <v>45</v>
      </c>
      <c r="Z160" s="9" t="s">
        <v>88</v>
      </c>
      <c r="AA160" s="9" t="s">
        <v>614</v>
      </c>
      <c r="AB160" s="9" t="s">
        <v>48</v>
      </c>
      <c r="AC160" s="9" t="s">
        <v>48</v>
      </c>
      <c r="AD160" s="9" t="s">
        <v>48</v>
      </c>
      <c r="AE160" s="9" t="s">
        <v>48</v>
      </c>
    </row>
    <row r="161" spans="1:31">
      <c r="A161" s="6">
        <v>159</v>
      </c>
      <c r="B161" s="6" t="s">
        <v>2335</v>
      </c>
      <c r="C161" s="20" t="s">
        <v>2310</v>
      </c>
      <c r="D161" s="16">
        <v>3</v>
      </c>
      <c r="E161" s="16" t="s">
        <v>1129</v>
      </c>
      <c r="F161" s="9" t="s">
        <v>2336</v>
      </c>
      <c r="G161" s="9"/>
      <c r="H161" s="9" t="s">
        <v>76</v>
      </c>
      <c r="I161" s="9" t="s">
        <v>51</v>
      </c>
      <c r="J161" s="10" t="s">
        <v>2788</v>
      </c>
      <c r="K161" s="15" t="s">
        <v>982</v>
      </c>
      <c r="L161" s="9" t="s">
        <v>181</v>
      </c>
      <c r="M161" s="9" t="s">
        <v>2293</v>
      </c>
      <c r="N161" s="11">
        <v>42705</v>
      </c>
      <c r="O161" s="9" t="s">
        <v>2338</v>
      </c>
      <c r="P161" s="10" t="s">
        <v>2339</v>
      </c>
      <c r="Q161" s="12" t="s">
        <v>56</v>
      </c>
      <c r="R161" s="12" t="s">
        <v>57</v>
      </c>
      <c r="S161" s="9" t="s">
        <v>2340</v>
      </c>
      <c r="T161" s="9" t="s">
        <v>1003</v>
      </c>
      <c r="U161" s="13" t="s">
        <v>2341</v>
      </c>
      <c r="V161" s="9" t="s">
        <v>61</v>
      </c>
      <c r="W161" s="32" t="s">
        <v>1025</v>
      </c>
      <c r="X161" s="32" t="s">
        <v>62</v>
      </c>
      <c r="Y161" s="9" t="s">
        <v>45</v>
      </c>
      <c r="Z161" s="9" t="s">
        <v>88</v>
      </c>
      <c r="AA161" s="13" t="s">
        <v>2342</v>
      </c>
      <c r="AB161" s="9" t="s">
        <v>48</v>
      </c>
      <c r="AC161" s="9" t="s">
        <v>48</v>
      </c>
      <c r="AD161" s="9" t="s">
        <v>48</v>
      </c>
      <c r="AE161" s="9" t="s">
        <v>48</v>
      </c>
    </row>
    <row r="162" spans="1:31">
      <c r="A162" s="6">
        <v>160</v>
      </c>
      <c r="B162" s="6" t="s">
        <v>2343</v>
      </c>
      <c r="C162" s="20" t="s">
        <v>2310</v>
      </c>
      <c r="D162" s="16">
        <v>1</v>
      </c>
      <c r="E162" s="16" t="s">
        <v>2344</v>
      </c>
      <c r="F162" s="9" t="s">
        <v>2345</v>
      </c>
      <c r="G162" s="9"/>
      <c r="H162" s="9" t="s">
        <v>76</v>
      </c>
      <c r="I162" s="9" t="s">
        <v>51</v>
      </c>
      <c r="J162" s="10" t="s">
        <v>475</v>
      </c>
      <c r="K162" s="15" t="s">
        <v>982</v>
      </c>
      <c r="L162" s="9" t="s">
        <v>181</v>
      </c>
      <c r="M162" s="9" t="s">
        <v>2293</v>
      </c>
      <c r="N162" s="11">
        <v>42705</v>
      </c>
      <c r="O162" s="10" t="s">
        <v>2346</v>
      </c>
      <c r="P162" s="9" t="s">
        <v>2347</v>
      </c>
      <c r="Q162" s="12" t="s">
        <v>56</v>
      </c>
      <c r="R162" s="12" t="s">
        <v>57</v>
      </c>
      <c r="S162" s="9" t="s">
        <v>2348</v>
      </c>
      <c r="T162" s="9" t="s">
        <v>1003</v>
      </c>
      <c r="U162" s="32" t="s">
        <v>2349</v>
      </c>
      <c r="V162" s="9" t="s">
        <v>61</v>
      </c>
      <c r="W162" s="32" t="s">
        <v>1025</v>
      </c>
      <c r="X162" s="32" t="s">
        <v>62</v>
      </c>
      <c r="Y162" s="9" t="s">
        <v>45</v>
      </c>
      <c r="Z162" s="9" t="s">
        <v>88</v>
      </c>
      <c r="AA162" s="9" t="s">
        <v>2350</v>
      </c>
      <c r="AB162" s="9" t="s">
        <v>48</v>
      </c>
      <c r="AC162" s="9" t="s">
        <v>48</v>
      </c>
      <c r="AD162" s="9" t="s">
        <v>48</v>
      </c>
      <c r="AE162" s="9" t="s">
        <v>48</v>
      </c>
    </row>
    <row r="163" spans="1:31">
      <c r="A163" s="6">
        <v>161</v>
      </c>
      <c r="B163" s="6" t="s">
        <v>1609</v>
      </c>
      <c r="C163" s="27" t="s">
        <v>1610</v>
      </c>
      <c r="D163" s="28" t="s">
        <v>1611</v>
      </c>
      <c r="E163" s="8" t="s">
        <v>1612</v>
      </c>
      <c r="F163" s="9" t="s">
        <v>1613</v>
      </c>
      <c r="G163" s="9"/>
      <c r="H163" s="9" t="s">
        <v>76</v>
      </c>
      <c r="I163" s="9" t="s">
        <v>51</v>
      </c>
      <c r="J163" s="10" t="s">
        <v>2789</v>
      </c>
      <c r="K163" s="15" t="s">
        <v>982</v>
      </c>
      <c r="L163" s="9" t="s">
        <v>199</v>
      </c>
      <c r="M163" s="9" t="s">
        <v>1389</v>
      </c>
      <c r="N163" s="11">
        <v>42705</v>
      </c>
      <c r="O163" s="9" t="s">
        <v>1615</v>
      </c>
      <c r="P163" s="9" t="s">
        <v>1616</v>
      </c>
      <c r="Q163" s="12" t="s">
        <v>56</v>
      </c>
      <c r="R163" s="12" t="s">
        <v>57</v>
      </c>
      <c r="S163" s="9" t="s">
        <v>1617</v>
      </c>
      <c r="T163" s="9" t="s">
        <v>1003</v>
      </c>
      <c r="U163" s="32" t="s">
        <v>1618</v>
      </c>
      <c r="V163" s="9" t="s">
        <v>61</v>
      </c>
      <c r="W163" s="32" t="s">
        <v>1025</v>
      </c>
      <c r="X163" s="32" t="s">
        <v>62</v>
      </c>
      <c r="Y163" s="9" t="s">
        <v>45</v>
      </c>
      <c r="Z163" s="9" t="s">
        <v>88</v>
      </c>
      <c r="AA163" s="32" t="s">
        <v>1619</v>
      </c>
      <c r="AB163" s="9" t="s">
        <v>48</v>
      </c>
      <c r="AC163" s="9" t="s">
        <v>48</v>
      </c>
      <c r="AD163" s="9" t="s">
        <v>48</v>
      </c>
      <c r="AE163" s="9" t="s">
        <v>48</v>
      </c>
    </row>
    <row r="164" spans="1:31">
      <c r="A164" s="6">
        <v>162</v>
      </c>
      <c r="B164" s="6" t="s">
        <v>1960</v>
      </c>
      <c r="C164" s="7"/>
      <c r="D164" s="8"/>
      <c r="E164" s="8"/>
      <c r="F164" s="9" t="s">
        <v>1961</v>
      </c>
      <c r="G164" s="9"/>
      <c r="H164" s="9" t="s">
        <v>76</v>
      </c>
      <c r="I164" s="9" t="s">
        <v>51</v>
      </c>
      <c r="J164" s="10" t="s">
        <v>2790</v>
      </c>
      <c r="K164" s="15" t="s">
        <v>982</v>
      </c>
      <c r="L164" s="9" t="s">
        <v>79</v>
      </c>
      <c r="M164" s="9" t="s">
        <v>1804</v>
      </c>
      <c r="N164" s="11">
        <v>42705</v>
      </c>
      <c r="O164" s="9" t="s">
        <v>1963</v>
      </c>
      <c r="P164" s="10" t="s">
        <v>1964</v>
      </c>
      <c r="Q164" s="12" t="s">
        <v>56</v>
      </c>
      <c r="R164" s="12" t="s">
        <v>57</v>
      </c>
      <c r="S164" s="9" t="s">
        <v>1965</v>
      </c>
      <c r="T164" s="9" t="s">
        <v>1003</v>
      </c>
      <c r="U164" s="32" t="s">
        <v>1966</v>
      </c>
      <c r="V164" s="9" t="s">
        <v>61</v>
      </c>
      <c r="W164" s="32" t="s">
        <v>1025</v>
      </c>
      <c r="X164" s="32" t="s">
        <v>62</v>
      </c>
      <c r="Y164" s="9" t="s">
        <v>45</v>
      </c>
      <c r="Z164" s="9" t="s">
        <v>88</v>
      </c>
      <c r="AA164" s="32" t="s">
        <v>569</v>
      </c>
      <c r="AB164" s="9" t="s">
        <v>48</v>
      </c>
      <c r="AC164" s="9" t="s">
        <v>48</v>
      </c>
      <c r="AD164" s="9" t="s">
        <v>48</v>
      </c>
      <c r="AE164" s="9" t="s">
        <v>48</v>
      </c>
    </row>
    <row r="165" spans="1:31">
      <c r="A165" s="6">
        <v>163</v>
      </c>
      <c r="B165" s="6" t="s">
        <v>1040</v>
      </c>
      <c r="C165" s="7"/>
      <c r="D165" s="8"/>
      <c r="E165" s="8"/>
      <c r="F165" s="9" t="s">
        <v>1041</v>
      </c>
      <c r="G165" s="9"/>
      <c r="H165" s="9" t="s">
        <v>76</v>
      </c>
      <c r="I165" s="9" t="s">
        <v>51</v>
      </c>
      <c r="J165" s="10" t="s">
        <v>2791</v>
      </c>
      <c r="K165" s="15" t="s">
        <v>982</v>
      </c>
      <c r="L165" s="9" t="s">
        <v>983</v>
      </c>
      <c r="M165" s="9" t="s">
        <v>984</v>
      </c>
      <c r="N165" s="11">
        <v>42705</v>
      </c>
      <c r="O165" s="9" t="s">
        <v>1043</v>
      </c>
      <c r="P165" s="10" t="s">
        <v>1044</v>
      </c>
      <c r="Q165" s="12" t="s">
        <v>56</v>
      </c>
      <c r="R165" s="12" t="s">
        <v>57</v>
      </c>
      <c r="S165" s="9" t="s">
        <v>1045</v>
      </c>
      <c r="T165" s="9" t="s">
        <v>1003</v>
      </c>
      <c r="U165" s="32" t="s">
        <v>1046</v>
      </c>
      <c r="V165" s="9" t="s">
        <v>61</v>
      </c>
      <c r="W165" s="32" t="s">
        <v>1025</v>
      </c>
      <c r="X165" s="32" t="s">
        <v>62</v>
      </c>
      <c r="Y165" s="9" t="s">
        <v>45</v>
      </c>
      <c r="Z165" s="9" t="s">
        <v>88</v>
      </c>
      <c r="AA165" s="32" t="s">
        <v>488</v>
      </c>
      <c r="AB165" s="9" t="s">
        <v>48</v>
      </c>
      <c r="AC165" s="9" t="s">
        <v>48</v>
      </c>
      <c r="AD165" s="9" t="s">
        <v>48</v>
      </c>
      <c r="AE165" s="9" t="s">
        <v>48</v>
      </c>
    </row>
    <row r="166" spans="1:31">
      <c r="A166" s="6">
        <v>164</v>
      </c>
      <c r="B166" s="6" t="s">
        <v>2266</v>
      </c>
      <c r="C166" s="7"/>
      <c r="D166" s="8"/>
      <c r="E166" s="8"/>
      <c r="F166" s="9" t="s">
        <v>2267</v>
      </c>
      <c r="G166" s="9"/>
      <c r="H166" s="9" t="s">
        <v>76</v>
      </c>
      <c r="I166" s="9" t="s">
        <v>51</v>
      </c>
      <c r="J166" s="10" t="s">
        <v>2268</v>
      </c>
      <c r="K166" s="15" t="s">
        <v>34</v>
      </c>
      <c r="L166" s="9" t="s">
        <v>91</v>
      </c>
      <c r="M166" s="9" t="s">
        <v>2017</v>
      </c>
      <c r="N166" s="11">
        <v>42705</v>
      </c>
      <c r="O166" s="9" t="s">
        <v>2269</v>
      </c>
      <c r="P166" s="10" t="s">
        <v>2270</v>
      </c>
      <c r="Q166" s="12" t="s">
        <v>56</v>
      </c>
      <c r="R166" s="12" t="s">
        <v>57</v>
      </c>
      <c r="S166" s="9" t="s">
        <v>2271</v>
      </c>
      <c r="T166" s="9" t="s">
        <v>1003</v>
      </c>
      <c r="U166" s="32" t="s">
        <v>2272</v>
      </c>
      <c r="V166" s="9" t="s">
        <v>61</v>
      </c>
      <c r="W166" s="32" t="s">
        <v>1025</v>
      </c>
      <c r="X166" s="32" t="s">
        <v>62</v>
      </c>
      <c r="Y166" s="9" t="s">
        <v>45</v>
      </c>
      <c r="Z166" s="9" t="s">
        <v>88</v>
      </c>
      <c r="AA166" s="9" t="s">
        <v>2273</v>
      </c>
      <c r="AB166" s="9" t="s">
        <v>48</v>
      </c>
      <c r="AC166" s="9" t="s">
        <v>48</v>
      </c>
      <c r="AD166" s="9" t="s">
        <v>48</v>
      </c>
      <c r="AE166" s="9" t="s">
        <v>48</v>
      </c>
    </row>
    <row r="167" spans="1:31">
      <c r="A167" s="6">
        <v>165</v>
      </c>
      <c r="B167" s="6" t="s">
        <v>1967</v>
      </c>
      <c r="C167" s="7"/>
      <c r="D167" s="8"/>
      <c r="E167" s="8"/>
      <c r="F167" s="9" t="s">
        <v>1968</v>
      </c>
      <c r="G167" s="9"/>
      <c r="H167" s="9" t="s">
        <v>76</v>
      </c>
      <c r="I167" s="9" t="s">
        <v>51</v>
      </c>
      <c r="J167" s="10" t="s">
        <v>1969</v>
      </c>
      <c r="K167" s="15" t="s">
        <v>982</v>
      </c>
      <c r="L167" s="9" t="s">
        <v>79</v>
      </c>
      <c r="M167" s="9" t="s">
        <v>1804</v>
      </c>
      <c r="N167" s="11">
        <v>42705</v>
      </c>
      <c r="O167" s="9"/>
      <c r="P167" s="10"/>
      <c r="Q167" s="12" t="s">
        <v>56</v>
      </c>
      <c r="R167" s="12" t="s">
        <v>57</v>
      </c>
      <c r="S167" s="9" t="s">
        <v>1970</v>
      </c>
      <c r="T167" s="9" t="s">
        <v>41</v>
      </c>
      <c r="U167" s="32" t="s">
        <v>1971</v>
      </c>
      <c r="V167" s="9" t="s">
        <v>61</v>
      </c>
      <c r="W167" s="32" t="s">
        <v>1972</v>
      </c>
      <c r="X167" s="32" t="s">
        <v>62</v>
      </c>
      <c r="Y167" s="9" t="s">
        <v>45</v>
      </c>
      <c r="Z167" s="9" t="s">
        <v>88</v>
      </c>
      <c r="AA167" s="32" t="s">
        <v>1973</v>
      </c>
      <c r="AB167" s="9" t="s">
        <v>48</v>
      </c>
      <c r="AC167" s="9" t="s">
        <v>48</v>
      </c>
      <c r="AD167" s="9" t="s">
        <v>48</v>
      </c>
      <c r="AE167" s="9" t="s">
        <v>48</v>
      </c>
    </row>
    <row r="168" spans="1:31">
      <c r="A168" s="6">
        <v>166</v>
      </c>
      <c r="B168" s="6" t="s">
        <v>1974</v>
      </c>
      <c r="C168" s="7"/>
      <c r="D168" s="8"/>
      <c r="E168" s="8"/>
      <c r="F168" s="9" t="s">
        <v>1975</v>
      </c>
      <c r="G168" s="9"/>
      <c r="H168" s="9" t="s">
        <v>76</v>
      </c>
      <c r="I168" s="9" t="s">
        <v>51</v>
      </c>
      <c r="J168" s="10" t="s">
        <v>2792</v>
      </c>
      <c r="K168" s="15" t="s">
        <v>982</v>
      </c>
      <c r="L168" s="9" t="s">
        <v>79</v>
      </c>
      <c r="M168" s="9" t="s">
        <v>1804</v>
      </c>
      <c r="N168" s="11">
        <v>42705</v>
      </c>
      <c r="O168" s="9" t="s">
        <v>1977</v>
      </c>
      <c r="P168" s="9" t="s">
        <v>1978</v>
      </c>
      <c r="Q168" s="12" t="s">
        <v>56</v>
      </c>
      <c r="R168" s="12" t="s">
        <v>57</v>
      </c>
      <c r="S168" s="9" t="s">
        <v>1979</v>
      </c>
      <c r="T168" s="9" t="s">
        <v>1003</v>
      </c>
      <c r="U168" s="32" t="s">
        <v>1980</v>
      </c>
      <c r="V168" s="9" t="s">
        <v>61</v>
      </c>
      <c r="W168" s="32" t="s">
        <v>1025</v>
      </c>
      <c r="X168" s="32" t="s">
        <v>62</v>
      </c>
      <c r="Y168" s="9" t="s">
        <v>45</v>
      </c>
      <c r="Z168" s="9" t="s">
        <v>88</v>
      </c>
      <c r="AA168" s="9" t="s">
        <v>1981</v>
      </c>
      <c r="AB168" s="9" t="s">
        <v>48</v>
      </c>
      <c r="AC168" s="9" t="s">
        <v>48</v>
      </c>
      <c r="AD168" s="9" t="s">
        <v>48</v>
      </c>
      <c r="AE168" s="9" t="s">
        <v>48</v>
      </c>
    </row>
    <row r="169" spans="1:31">
      <c r="A169" s="6">
        <v>167</v>
      </c>
      <c r="B169" s="6" t="s">
        <v>1047</v>
      </c>
      <c r="C169" s="6" t="s">
        <v>978</v>
      </c>
      <c r="D169" s="16">
        <v>36</v>
      </c>
      <c r="E169" s="16" t="s">
        <v>1048</v>
      </c>
      <c r="F169" s="9" t="s">
        <v>1049</v>
      </c>
      <c r="G169" s="9"/>
      <c r="H169" s="9" t="s">
        <v>76</v>
      </c>
      <c r="I169" s="9" t="s">
        <v>51</v>
      </c>
      <c r="J169" s="10" t="s">
        <v>1050</v>
      </c>
      <c r="K169" s="15" t="s">
        <v>982</v>
      </c>
      <c r="L169" s="9" t="s">
        <v>983</v>
      </c>
      <c r="M169" s="9" t="s">
        <v>984</v>
      </c>
      <c r="N169" s="11">
        <v>42705</v>
      </c>
      <c r="O169" s="9" t="s">
        <v>1051</v>
      </c>
      <c r="P169" s="9" t="s">
        <v>1052</v>
      </c>
      <c r="Q169" s="12" t="s">
        <v>56</v>
      </c>
      <c r="R169" s="12" t="s">
        <v>57</v>
      </c>
      <c r="S169" s="9" t="s">
        <v>1053</v>
      </c>
      <c r="T169" s="9" t="s">
        <v>1003</v>
      </c>
      <c r="U169" s="32" t="s">
        <v>1054</v>
      </c>
      <c r="V169" s="9" t="s">
        <v>61</v>
      </c>
      <c r="W169" s="32" t="s">
        <v>1025</v>
      </c>
      <c r="X169" s="32" t="s">
        <v>62</v>
      </c>
      <c r="Y169" s="9" t="s">
        <v>45</v>
      </c>
      <c r="Z169" s="9" t="s">
        <v>88</v>
      </c>
      <c r="AA169" s="9" t="s">
        <v>1055</v>
      </c>
      <c r="AB169" s="9" t="s">
        <v>48</v>
      </c>
      <c r="AC169" s="9" t="s">
        <v>48</v>
      </c>
      <c r="AD169" s="9" t="s">
        <v>48</v>
      </c>
      <c r="AE169" s="9" t="s">
        <v>48</v>
      </c>
    </row>
    <row r="170" spans="1:31">
      <c r="A170" s="6">
        <v>168</v>
      </c>
      <c r="B170" s="6" t="s">
        <v>1567</v>
      </c>
      <c r="C170" s="7"/>
      <c r="D170" s="8"/>
      <c r="E170" s="8"/>
      <c r="F170" s="9" t="s">
        <v>1568</v>
      </c>
      <c r="G170" s="9"/>
      <c r="H170" s="9" t="s">
        <v>76</v>
      </c>
      <c r="I170" s="9" t="s">
        <v>51</v>
      </c>
      <c r="J170" s="10" t="s">
        <v>1569</v>
      </c>
      <c r="K170" s="15" t="s">
        <v>34</v>
      </c>
      <c r="L170" s="9" t="s">
        <v>1562</v>
      </c>
      <c r="M170" s="9" t="s">
        <v>1352</v>
      </c>
      <c r="N170" s="11">
        <v>42705</v>
      </c>
      <c r="O170" s="9" t="s">
        <v>1570</v>
      </c>
      <c r="P170" s="10" t="s">
        <v>1571</v>
      </c>
      <c r="Q170" s="12" t="s">
        <v>56</v>
      </c>
      <c r="R170" s="12" t="s">
        <v>57</v>
      </c>
      <c r="S170" s="9" t="s">
        <v>1572</v>
      </c>
      <c r="T170" s="9" t="s">
        <v>1003</v>
      </c>
      <c r="U170" s="9" t="s">
        <v>1573</v>
      </c>
      <c r="V170" s="9" t="s">
        <v>61</v>
      </c>
      <c r="W170" s="32" t="s">
        <v>1025</v>
      </c>
      <c r="X170" s="32" t="s">
        <v>62</v>
      </c>
      <c r="Y170" s="9" t="s">
        <v>45</v>
      </c>
      <c r="Z170" s="9" t="s">
        <v>88</v>
      </c>
      <c r="AA170" s="9" t="s">
        <v>1574</v>
      </c>
      <c r="AB170" s="9" t="s">
        <v>48</v>
      </c>
      <c r="AC170" s="9" t="s">
        <v>48</v>
      </c>
      <c r="AD170" s="9" t="s">
        <v>48</v>
      </c>
      <c r="AE170" s="9" t="s">
        <v>48</v>
      </c>
    </row>
    <row r="171" spans="1:31">
      <c r="A171" s="6">
        <v>169</v>
      </c>
      <c r="B171" s="6" t="s">
        <v>1716</v>
      </c>
      <c r="C171" s="7"/>
      <c r="D171" s="8"/>
      <c r="E171" s="8"/>
      <c r="F171" s="9" t="s">
        <v>1717</v>
      </c>
      <c r="G171" s="9"/>
      <c r="H171" s="9" t="s">
        <v>76</v>
      </c>
      <c r="I171" s="9" t="s">
        <v>51</v>
      </c>
      <c r="J171" s="10" t="s">
        <v>863</v>
      </c>
      <c r="K171" s="15" t="s">
        <v>982</v>
      </c>
      <c r="L171" s="9" t="s">
        <v>1659</v>
      </c>
      <c r="M171" s="9" t="s">
        <v>1672</v>
      </c>
      <c r="N171" s="11">
        <v>42705</v>
      </c>
      <c r="O171" s="9" t="s">
        <v>1718</v>
      </c>
      <c r="P171" s="10" t="s">
        <v>1719</v>
      </c>
      <c r="Q171" s="12" t="s">
        <v>56</v>
      </c>
      <c r="R171" s="12" t="s">
        <v>57</v>
      </c>
      <c r="S171" s="9" t="s">
        <v>1720</v>
      </c>
      <c r="T171" s="9" t="s">
        <v>1003</v>
      </c>
      <c r="U171" s="9" t="s">
        <v>1721</v>
      </c>
      <c r="V171" s="9" t="s">
        <v>61</v>
      </c>
      <c r="W171" s="32" t="s">
        <v>1025</v>
      </c>
      <c r="X171" s="32" t="s">
        <v>62</v>
      </c>
      <c r="Y171" s="9" t="s">
        <v>45</v>
      </c>
      <c r="Z171" s="9" t="s">
        <v>88</v>
      </c>
      <c r="AA171" s="30" t="s">
        <v>1722</v>
      </c>
      <c r="AB171" s="9" t="s">
        <v>48</v>
      </c>
      <c r="AC171" s="9" t="s">
        <v>48</v>
      </c>
      <c r="AD171" s="9" t="s">
        <v>48</v>
      </c>
      <c r="AE171" s="9" t="s">
        <v>48</v>
      </c>
    </row>
    <row r="172" spans="1:31">
      <c r="A172" s="6">
        <v>170</v>
      </c>
      <c r="B172" s="6" t="s">
        <v>2135</v>
      </c>
      <c r="C172" s="6" t="s">
        <v>1536</v>
      </c>
      <c r="D172" s="16">
        <v>34</v>
      </c>
      <c r="E172" s="16" t="s">
        <v>2136</v>
      </c>
      <c r="F172" s="9" t="s">
        <v>2137</v>
      </c>
      <c r="G172" s="9"/>
      <c r="H172" s="9" t="s">
        <v>76</v>
      </c>
      <c r="I172" s="9" t="s">
        <v>51</v>
      </c>
      <c r="J172" s="10" t="s">
        <v>2138</v>
      </c>
      <c r="K172" s="15" t="s">
        <v>982</v>
      </c>
      <c r="L172" s="9" t="s">
        <v>53</v>
      </c>
      <c r="M172" s="9" t="s">
        <v>984</v>
      </c>
      <c r="N172" s="11">
        <v>2006</v>
      </c>
      <c r="O172" s="9" t="s">
        <v>2139</v>
      </c>
      <c r="P172" s="9" t="s">
        <v>2140</v>
      </c>
      <c r="Q172" s="12" t="s">
        <v>56</v>
      </c>
      <c r="R172" s="12" t="s">
        <v>57</v>
      </c>
      <c r="S172" s="9" t="s">
        <v>2141</v>
      </c>
      <c r="T172" s="9" t="s">
        <v>1003</v>
      </c>
      <c r="U172" s="13" t="s">
        <v>2142</v>
      </c>
      <c r="V172" s="9" t="s">
        <v>61</v>
      </c>
      <c r="W172" s="32" t="s">
        <v>1025</v>
      </c>
      <c r="X172" s="32" t="s">
        <v>62</v>
      </c>
      <c r="Y172" s="9" t="s">
        <v>45</v>
      </c>
      <c r="Z172" s="9" t="s">
        <v>88</v>
      </c>
      <c r="AA172" s="13" t="s">
        <v>2143</v>
      </c>
      <c r="AB172" s="9" t="s">
        <v>48</v>
      </c>
      <c r="AC172" s="9" t="s">
        <v>48</v>
      </c>
      <c r="AD172" s="9" t="s">
        <v>48</v>
      </c>
      <c r="AE172" s="9" t="s">
        <v>48</v>
      </c>
    </row>
    <row r="173" spans="1:31">
      <c r="A173" s="6">
        <v>171</v>
      </c>
      <c r="B173" s="6" t="s">
        <v>2351</v>
      </c>
      <c r="C173" s="20" t="s">
        <v>2310</v>
      </c>
      <c r="D173" s="16">
        <v>7</v>
      </c>
      <c r="E173" s="16" t="s">
        <v>1407</v>
      </c>
      <c r="F173" s="9" t="s">
        <v>2352</v>
      </c>
      <c r="G173" s="9"/>
      <c r="H173" s="9" t="s">
        <v>76</v>
      </c>
      <c r="I173" s="9" t="s">
        <v>51</v>
      </c>
      <c r="J173" s="10" t="s">
        <v>2353</v>
      </c>
      <c r="K173" s="15" t="s">
        <v>982</v>
      </c>
      <c r="L173" s="9" t="s">
        <v>181</v>
      </c>
      <c r="M173" s="9" t="s">
        <v>2293</v>
      </c>
      <c r="N173" s="11">
        <v>42705</v>
      </c>
      <c r="O173" s="9" t="s">
        <v>2354</v>
      </c>
      <c r="P173" s="10" t="s">
        <v>2355</v>
      </c>
      <c r="Q173" s="12" t="s">
        <v>56</v>
      </c>
      <c r="R173" s="12" t="s">
        <v>57</v>
      </c>
      <c r="S173" s="9" t="s">
        <v>2356</v>
      </c>
      <c r="T173" s="9" t="s">
        <v>1003</v>
      </c>
      <c r="U173" s="32" t="s">
        <v>2357</v>
      </c>
      <c r="V173" s="9" t="s">
        <v>61</v>
      </c>
      <c r="W173" s="32" t="s">
        <v>1025</v>
      </c>
      <c r="X173" s="32" t="s">
        <v>62</v>
      </c>
      <c r="Y173" s="9" t="s">
        <v>45</v>
      </c>
      <c r="Z173" s="9" t="s">
        <v>88</v>
      </c>
      <c r="AA173" s="32" t="s">
        <v>2358</v>
      </c>
      <c r="AB173" s="9" t="s">
        <v>48</v>
      </c>
      <c r="AC173" s="9" t="s">
        <v>48</v>
      </c>
      <c r="AD173" s="9" t="s">
        <v>48</v>
      </c>
      <c r="AE173" s="9" t="s">
        <v>48</v>
      </c>
    </row>
    <row r="174" spans="1:31">
      <c r="A174" s="6">
        <v>172</v>
      </c>
      <c r="B174" s="6" t="s">
        <v>1118</v>
      </c>
      <c r="C174" s="7"/>
      <c r="D174" s="8"/>
      <c r="E174" s="8"/>
      <c r="F174" s="9" t="s">
        <v>1119</v>
      </c>
      <c r="G174" s="9"/>
      <c r="H174" s="9" t="s">
        <v>76</v>
      </c>
      <c r="I174" s="9" t="s">
        <v>51</v>
      </c>
      <c r="J174" s="10" t="s">
        <v>1080</v>
      </c>
      <c r="K174" s="15" t="s">
        <v>982</v>
      </c>
      <c r="L174" s="9" t="s">
        <v>1080</v>
      </c>
      <c r="M174" s="9" t="s">
        <v>984</v>
      </c>
      <c r="N174" s="11">
        <v>42705</v>
      </c>
      <c r="O174" s="9" t="s">
        <v>1121</v>
      </c>
      <c r="P174" s="10" t="s">
        <v>1122</v>
      </c>
      <c r="Q174" s="12" t="s">
        <v>56</v>
      </c>
      <c r="R174" s="12" t="s">
        <v>57</v>
      </c>
      <c r="S174" s="9" t="s">
        <v>1123</v>
      </c>
      <c r="T174" s="9" t="s">
        <v>1003</v>
      </c>
      <c r="U174" s="9" t="s">
        <v>1124</v>
      </c>
      <c r="V174" s="9" t="s">
        <v>61</v>
      </c>
      <c r="W174" s="32" t="s">
        <v>1025</v>
      </c>
      <c r="X174" s="32" t="s">
        <v>62</v>
      </c>
      <c r="Y174" s="9" t="s">
        <v>45</v>
      </c>
      <c r="Z174" s="9" t="s">
        <v>88</v>
      </c>
      <c r="AA174" s="9" t="s">
        <v>1125</v>
      </c>
      <c r="AB174" s="9" t="s">
        <v>48</v>
      </c>
      <c r="AC174" s="9" t="s">
        <v>48</v>
      </c>
      <c r="AD174" s="9" t="s">
        <v>48</v>
      </c>
      <c r="AE174" s="9" t="s">
        <v>48</v>
      </c>
    </row>
    <row r="175" spans="1:31">
      <c r="A175" s="6">
        <v>173</v>
      </c>
      <c r="B175" s="6" t="s">
        <v>2793</v>
      </c>
      <c r="C175" s="7"/>
      <c r="D175" s="8"/>
      <c r="E175" s="8"/>
      <c r="F175" s="9" t="s">
        <v>2145</v>
      </c>
      <c r="G175" s="9"/>
      <c r="H175" s="9" t="s">
        <v>76</v>
      </c>
      <c r="I175" s="9" t="s">
        <v>51</v>
      </c>
      <c r="J175" s="10" t="s">
        <v>2794</v>
      </c>
      <c r="K175" s="15" t="s">
        <v>982</v>
      </c>
      <c r="L175" s="9" t="s">
        <v>53</v>
      </c>
      <c r="M175" s="9" t="s">
        <v>984</v>
      </c>
      <c r="N175" s="11">
        <v>42705</v>
      </c>
      <c r="O175" s="9" t="s">
        <v>2147</v>
      </c>
      <c r="P175" s="10" t="s">
        <v>2148</v>
      </c>
      <c r="Q175" s="12" t="s">
        <v>56</v>
      </c>
      <c r="R175" s="12" t="s">
        <v>57</v>
      </c>
      <c r="S175" s="9" t="s">
        <v>2149</v>
      </c>
      <c r="T175" s="9" t="s">
        <v>1003</v>
      </c>
      <c r="U175" s="9" t="s">
        <v>2150</v>
      </c>
      <c r="V175" s="9" t="s">
        <v>61</v>
      </c>
      <c r="W175" s="32" t="s">
        <v>1025</v>
      </c>
      <c r="X175" s="32" t="s">
        <v>62</v>
      </c>
      <c r="Y175" s="9" t="s">
        <v>45</v>
      </c>
      <c r="Z175" s="9" t="s">
        <v>88</v>
      </c>
      <c r="AA175" s="9" t="s">
        <v>2151</v>
      </c>
      <c r="AB175" s="9" t="s">
        <v>48</v>
      </c>
      <c r="AC175" s="9" t="s">
        <v>48</v>
      </c>
      <c r="AD175" s="9" t="s">
        <v>48</v>
      </c>
      <c r="AE175" s="9" t="s">
        <v>48</v>
      </c>
    </row>
    <row r="176" spans="1:31">
      <c r="A176" s="6">
        <v>174</v>
      </c>
      <c r="B176" s="6" t="s">
        <v>1723</v>
      </c>
      <c r="C176" s="7"/>
      <c r="D176" s="8"/>
      <c r="E176" s="8"/>
      <c r="F176" s="9" t="s">
        <v>1724</v>
      </c>
      <c r="G176" s="9"/>
      <c r="H176" s="9" t="s">
        <v>76</v>
      </c>
      <c r="I176" s="9" t="s">
        <v>51</v>
      </c>
      <c r="J176" s="10" t="s">
        <v>1725</v>
      </c>
      <c r="K176" s="15" t="s">
        <v>982</v>
      </c>
      <c r="L176" s="9" t="s">
        <v>1659</v>
      </c>
      <c r="M176" s="9" t="s">
        <v>1672</v>
      </c>
      <c r="N176" s="11">
        <v>42705</v>
      </c>
      <c r="O176" s="9" t="s">
        <v>1726</v>
      </c>
      <c r="P176" s="9" t="s">
        <v>1727</v>
      </c>
      <c r="Q176" s="12" t="s">
        <v>56</v>
      </c>
      <c r="R176" s="12" t="s">
        <v>57</v>
      </c>
      <c r="S176" s="9" t="s">
        <v>1728</v>
      </c>
      <c r="T176" s="9" t="s">
        <v>41</v>
      </c>
      <c r="U176" s="13" t="s">
        <v>1729</v>
      </c>
      <c r="V176" s="9" t="s">
        <v>61</v>
      </c>
      <c r="W176" s="32" t="s">
        <v>1025</v>
      </c>
      <c r="X176" s="32" t="s">
        <v>62</v>
      </c>
      <c r="Y176" s="9" t="s">
        <v>45</v>
      </c>
      <c r="Z176" s="9" t="s">
        <v>88</v>
      </c>
      <c r="AA176" s="13" t="s">
        <v>1730</v>
      </c>
      <c r="AB176" s="9" t="s">
        <v>48</v>
      </c>
      <c r="AC176" s="9" t="s">
        <v>48</v>
      </c>
      <c r="AD176" s="9" t="s">
        <v>48</v>
      </c>
      <c r="AE176" s="9" t="s">
        <v>48</v>
      </c>
    </row>
    <row r="177" spans="1:31">
      <c r="A177" s="6">
        <v>175</v>
      </c>
      <c r="B177" s="6" t="s">
        <v>2152</v>
      </c>
      <c r="C177" s="6" t="s">
        <v>1226</v>
      </c>
      <c r="D177" s="16">
        <v>5</v>
      </c>
      <c r="E177" s="16" t="s">
        <v>2153</v>
      </c>
      <c r="F177" s="9" t="s">
        <v>2154</v>
      </c>
      <c r="G177" s="9"/>
      <c r="H177" s="9" t="s">
        <v>76</v>
      </c>
      <c r="I177" s="9" t="s">
        <v>51</v>
      </c>
      <c r="J177" s="10" t="s">
        <v>2155</v>
      </c>
      <c r="K177" s="15" t="s">
        <v>982</v>
      </c>
      <c r="L177" s="9" t="s">
        <v>209</v>
      </c>
      <c r="M177" s="9" t="s">
        <v>2753</v>
      </c>
      <c r="N177" s="11">
        <v>42705</v>
      </c>
      <c r="O177" s="9" t="s">
        <v>2156</v>
      </c>
      <c r="P177" s="9" t="s">
        <v>2157</v>
      </c>
      <c r="Q177" s="12" t="s">
        <v>56</v>
      </c>
      <c r="R177" s="12" t="s">
        <v>57</v>
      </c>
      <c r="S177" s="9" t="s">
        <v>2158</v>
      </c>
      <c r="T177" s="9" t="s">
        <v>1003</v>
      </c>
      <c r="U177" s="32" t="s">
        <v>2159</v>
      </c>
      <c r="V177" s="9" t="s">
        <v>61</v>
      </c>
      <c r="W177" s="32" t="s">
        <v>1025</v>
      </c>
      <c r="X177" s="32" t="s">
        <v>62</v>
      </c>
      <c r="Y177" s="9" t="s">
        <v>45</v>
      </c>
      <c r="Z177" s="9" t="s">
        <v>88</v>
      </c>
      <c r="AA177" s="9" t="s">
        <v>2160</v>
      </c>
      <c r="AB177" s="9" t="s">
        <v>48</v>
      </c>
      <c r="AC177" s="9" t="s">
        <v>48</v>
      </c>
      <c r="AD177" s="9" t="s">
        <v>48</v>
      </c>
      <c r="AE177" s="9" t="s">
        <v>48</v>
      </c>
    </row>
    <row r="178" spans="1:31">
      <c r="A178" s="6">
        <v>176</v>
      </c>
      <c r="B178" s="6" t="s">
        <v>2274</v>
      </c>
      <c r="C178" s="7"/>
      <c r="D178" s="8"/>
      <c r="E178" s="8"/>
      <c r="F178" s="9" t="s">
        <v>2275</v>
      </c>
      <c r="G178" s="9"/>
      <c r="H178" s="9" t="s">
        <v>76</v>
      </c>
      <c r="I178" s="9" t="s">
        <v>51</v>
      </c>
      <c r="J178" s="10" t="s">
        <v>2276</v>
      </c>
      <c r="K178" s="15" t="s">
        <v>982</v>
      </c>
      <c r="L178" s="9" t="s">
        <v>91</v>
      </c>
      <c r="M178" s="9" t="s">
        <v>2017</v>
      </c>
      <c r="N178" s="11">
        <v>42705</v>
      </c>
      <c r="O178" s="9" t="s">
        <v>2277</v>
      </c>
      <c r="P178" s="10" t="s">
        <v>2278</v>
      </c>
      <c r="Q178" s="12" t="s">
        <v>56</v>
      </c>
      <c r="R178" s="12" t="s">
        <v>57</v>
      </c>
      <c r="S178" s="9" t="s">
        <v>2279</v>
      </c>
      <c r="T178" s="9" t="s">
        <v>1003</v>
      </c>
      <c r="U178" s="32" t="s">
        <v>2280</v>
      </c>
      <c r="V178" s="9" t="s">
        <v>61</v>
      </c>
      <c r="W178" s="32" t="s">
        <v>1025</v>
      </c>
      <c r="X178" s="32" t="s">
        <v>62</v>
      </c>
      <c r="Y178" s="9" t="s">
        <v>45</v>
      </c>
      <c r="Z178" s="9" t="s">
        <v>88</v>
      </c>
      <c r="AA178" s="9" t="s">
        <v>2281</v>
      </c>
      <c r="AB178" s="9" t="s">
        <v>48</v>
      </c>
      <c r="AC178" s="9" t="s">
        <v>48</v>
      </c>
      <c r="AD178" s="9" t="s">
        <v>48</v>
      </c>
      <c r="AE178" s="9" t="s">
        <v>48</v>
      </c>
    </row>
    <row r="179" spans="1:31">
      <c r="A179" s="6">
        <v>177</v>
      </c>
      <c r="B179" s="6" t="s">
        <v>1982</v>
      </c>
      <c r="C179" s="7"/>
      <c r="D179" s="8"/>
      <c r="E179" s="8"/>
      <c r="F179" s="9" t="s">
        <v>1983</v>
      </c>
      <c r="G179" s="9"/>
      <c r="H179" s="9" t="s">
        <v>76</v>
      </c>
      <c r="I179" s="9" t="s">
        <v>51</v>
      </c>
      <c r="J179" s="10" t="s">
        <v>1984</v>
      </c>
      <c r="K179" s="15" t="s">
        <v>982</v>
      </c>
      <c r="L179" s="9" t="s">
        <v>79</v>
      </c>
      <c r="M179" s="9" t="s">
        <v>1804</v>
      </c>
      <c r="N179" s="11">
        <v>42705</v>
      </c>
      <c r="O179" s="9" t="s">
        <v>1985</v>
      </c>
      <c r="P179" s="10" t="s">
        <v>1986</v>
      </c>
      <c r="Q179" s="12" t="s">
        <v>56</v>
      </c>
      <c r="R179" s="12" t="s">
        <v>57</v>
      </c>
      <c r="S179" s="9" t="s">
        <v>1987</v>
      </c>
      <c r="T179" s="9" t="s">
        <v>1003</v>
      </c>
      <c r="U179" s="32" t="s">
        <v>1988</v>
      </c>
      <c r="V179" s="9" t="s">
        <v>61</v>
      </c>
      <c r="W179" s="32" t="s">
        <v>1025</v>
      </c>
      <c r="X179" s="32" t="s">
        <v>62</v>
      </c>
      <c r="Y179" s="9" t="s">
        <v>45</v>
      </c>
      <c r="Z179" s="9" t="s">
        <v>88</v>
      </c>
      <c r="AA179" s="9" t="s">
        <v>1989</v>
      </c>
      <c r="AB179" s="9" t="s">
        <v>48</v>
      </c>
      <c r="AC179" s="9" t="s">
        <v>48</v>
      </c>
      <c r="AD179" s="9" t="s">
        <v>48</v>
      </c>
      <c r="AE179" s="9" t="s">
        <v>48</v>
      </c>
    </row>
    <row r="180" spans="1:31">
      <c r="A180" s="6">
        <v>178</v>
      </c>
      <c r="B180" s="6" t="s">
        <v>2028</v>
      </c>
      <c r="C180" s="7"/>
      <c r="D180" s="8"/>
      <c r="E180" s="8"/>
      <c r="F180" s="9" t="s">
        <v>2029</v>
      </c>
      <c r="G180" s="9"/>
      <c r="H180" s="9" t="s">
        <v>76</v>
      </c>
      <c r="I180" s="9" t="s">
        <v>51</v>
      </c>
      <c r="J180" s="10" t="s">
        <v>714</v>
      </c>
      <c r="K180" s="15" t="s">
        <v>982</v>
      </c>
      <c r="L180" s="9" t="s">
        <v>2016</v>
      </c>
      <c r="M180" s="9" t="s">
        <v>2017</v>
      </c>
      <c r="N180" s="11">
        <v>42705</v>
      </c>
      <c r="O180" s="9" t="s">
        <v>2030</v>
      </c>
      <c r="P180" s="9" t="s">
        <v>2031</v>
      </c>
      <c r="Q180" s="12" t="s">
        <v>56</v>
      </c>
      <c r="R180" s="12" t="s">
        <v>57</v>
      </c>
      <c r="S180" s="9" t="s">
        <v>2032</v>
      </c>
      <c r="T180" s="9" t="s">
        <v>1003</v>
      </c>
      <c r="U180" s="13" t="s">
        <v>2033</v>
      </c>
      <c r="V180" s="9" t="s">
        <v>61</v>
      </c>
      <c r="W180" s="32" t="s">
        <v>1025</v>
      </c>
      <c r="X180" s="32" t="s">
        <v>62</v>
      </c>
      <c r="Y180" s="9" t="s">
        <v>45</v>
      </c>
      <c r="Z180" s="9" t="s">
        <v>88</v>
      </c>
      <c r="AA180" s="13" t="s">
        <v>2034</v>
      </c>
      <c r="AB180" s="9" t="s">
        <v>48</v>
      </c>
      <c r="AC180" s="9" t="s">
        <v>48</v>
      </c>
      <c r="AD180" s="9" t="s">
        <v>48</v>
      </c>
      <c r="AE180" s="9" t="s">
        <v>48</v>
      </c>
    </row>
    <row r="181" spans="1:31">
      <c r="A181" s="6">
        <v>179</v>
      </c>
      <c r="B181" s="22" t="s">
        <v>1400</v>
      </c>
      <c r="C181" s="6"/>
      <c r="D181" s="16"/>
      <c r="E181" s="16"/>
      <c r="F181" s="10" t="s">
        <v>1401</v>
      </c>
      <c r="G181" s="10"/>
      <c r="H181" s="10" t="s">
        <v>76</v>
      </c>
      <c r="I181" s="10" t="s">
        <v>32</v>
      </c>
      <c r="J181" s="10" t="s">
        <v>2467</v>
      </c>
      <c r="K181" s="15" t="s">
        <v>982</v>
      </c>
      <c r="L181" s="10" t="s">
        <v>2212</v>
      </c>
      <c r="M181" s="10" t="s">
        <v>984</v>
      </c>
      <c r="N181" s="11">
        <v>42826</v>
      </c>
      <c r="O181" s="10" t="s">
        <v>1402</v>
      </c>
      <c r="P181" s="10" t="s">
        <v>1403</v>
      </c>
      <c r="Q181" s="10" t="s">
        <v>38</v>
      </c>
      <c r="R181" s="10" t="s">
        <v>67</v>
      </c>
      <c r="S181" s="10" t="s">
        <v>68</v>
      </c>
      <c r="T181" s="10" t="s">
        <v>1404</v>
      </c>
      <c r="U181" s="10" t="s">
        <v>69</v>
      </c>
      <c r="V181" s="10" t="s">
        <v>70</v>
      </c>
      <c r="W181" s="32" t="s">
        <v>1025</v>
      </c>
      <c r="X181" s="32" t="s">
        <v>62</v>
      </c>
      <c r="Y181" s="9" t="s">
        <v>45</v>
      </c>
      <c r="Z181" s="9" t="s">
        <v>88</v>
      </c>
      <c r="AA181" s="10" t="s">
        <v>344</v>
      </c>
      <c r="AB181" s="10" t="s">
        <v>48</v>
      </c>
      <c r="AC181" s="10" t="s">
        <v>48</v>
      </c>
      <c r="AD181" s="10" t="s">
        <v>48</v>
      </c>
      <c r="AE181" s="10" t="s">
        <v>48</v>
      </c>
    </row>
    <row r="182" spans="1:31">
      <c r="A182" s="6">
        <v>180</v>
      </c>
      <c r="B182" s="22" t="s">
        <v>2161</v>
      </c>
      <c r="C182" s="6" t="s">
        <v>1536</v>
      </c>
      <c r="D182" s="16">
        <v>5</v>
      </c>
      <c r="E182" s="16" t="s">
        <v>2162</v>
      </c>
      <c r="F182" s="10" t="s">
        <v>2163</v>
      </c>
      <c r="G182" s="10"/>
      <c r="H182" s="10" t="s">
        <v>76</v>
      </c>
      <c r="I182" s="10" t="s">
        <v>32</v>
      </c>
      <c r="J182" s="10" t="s">
        <v>2164</v>
      </c>
      <c r="K182" s="15" t="s">
        <v>1243</v>
      </c>
      <c r="L182" s="10" t="s">
        <v>53</v>
      </c>
      <c r="M182" s="10" t="s">
        <v>2795</v>
      </c>
      <c r="N182" s="11">
        <v>43070</v>
      </c>
      <c r="O182" s="30" t="s">
        <v>74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>
      <c r="A183" s="6">
        <v>181</v>
      </c>
      <c r="B183" s="22" t="s">
        <v>1448</v>
      </c>
      <c r="C183" s="7"/>
      <c r="D183" s="8"/>
      <c r="E183" s="8"/>
      <c r="F183" s="10" t="s">
        <v>1449</v>
      </c>
      <c r="G183" s="10"/>
      <c r="H183" s="10" t="s">
        <v>76</v>
      </c>
      <c r="I183" s="10" t="s">
        <v>32</v>
      </c>
      <c r="J183" s="10" t="s">
        <v>2796</v>
      </c>
      <c r="K183" s="15" t="s">
        <v>1243</v>
      </c>
      <c r="L183" s="10" t="s">
        <v>35</v>
      </c>
      <c r="M183" s="10" t="s">
        <v>1326</v>
      </c>
      <c r="N183" s="11">
        <v>42705</v>
      </c>
      <c r="O183" s="30" t="s">
        <v>1451</v>
      </c>
      <c r="P183" s="10" t="s">
        <v>1452</v>
      </c>
      <c r="Q183" s="10" t="s">
        <v>1453</v>
      </c>
      <c r="R183" s="10" t="s">
        <v>1454</v>
      </c>
      <c r="S183" s="10" t="s">
        <v>1018</v>
      </c>
      <c r="T183" s="10" t="s">
        <v>1404</v>
      </c>
      <c r="U183" s="10" t="s">
        <v>1018</v>
      </c>
      <c r="V183" s="10" t="s">
        <v>1455</v>
      </c>
      <c r="W183" s="10" t="s">
        <v>1456</v>
      </c>
      <c r="X183" s="10" t="s">
        <v>86</v>
      </c>
      <c r="Y183" s="10" t="s">
        <v>1163</v>
      </c>
      <c r="Z183" s="9" t="s">
        <v>88</v>
      </c>
      <c r="AA183" s="10" t="s">
        <v>1457</v>
      </c>
      <c r="AB183" s="10" t="s">
        <v>48</v>
      </c>
      <c r="AC183" s="10" t="s">
        <v>48</v>
      </c>
      <c r="AD183" s="10" t="s">
        <v>48</v>
      </c>
      <c r="AE183" s="10" t="s">
        <v>48</v>
      </c>
    </row>
    <row r="184" spans="1:31">
      <c r="A184" s="39">
        <v>182</v>
      </c>
      <c r="B184" s="40" t="s">
        <v>2797</v>
      </c>
      <c r="C184" s="39" t="s">
        <v>1536</v>
      </c>
      <c r="D184" s="125">
        <v>27</v>
      </c>
      <c r="E184" s="125" t="s">
        <v>1656</v>
      </c>
      <c r="F184" s="104" t="s">
        <v>2798</v>
      </c>
      <c r="G184" s="104"/>
      <c r="H184" s="104" t="s">
        <v>2393</v>
      </c>
      <c r="I184" s="104" t="s">
        <v>51</v>
      </c>
      <c r="J184" s="104"/>
      <c r="K184" s="105" t="s">
        <v>982</v>
      </c>
      <c r="L184" s="104" t="s">
        <v>2799</v>
      </c>
      <c r="M184" s="104" t="s">
        <v>2408</v>
      </c>
      <c r="N184" s="106">
        <v>42921</v>
      </c>
      <c r="O184" s="104" t="s">
        <v>2800</v>
      </c>
      <c r="P184" s="104" t="s">
        <v>2801</v>
      </c>
      <c r="Q184" s="104" t="s">
        <v>335</v>
      </c>
      <c r="R184" s="104" t="s">
        <v>1631</v>
      </c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</row>
    <row r="185" spans="1:31">
      <c r="A185" s="6">
        <v>183</v>
      </c>
      <c r="B185" s="22" t="s">
        <v>1623</v>
      </c>
      <c r="C185" s="6" t="s">
        <v>1536</v>
      </c>
      <c r="D185" s="16">
        <v>25</v>
      </c>
      <c r="E185" s="16" t="s">
        <v>1624</v>
      </c>
      <c r="F185" s="10" t="s">
        <v>1625</v>
      </c>
      <c r="G185" s="10"/>
      <c r="H185" s="10" t="s">
        <v>76</v>
      </c>
      <c r="I185" s="10" t="s">
        <v>51</v>
      </c>
      <c r="J185" s="10" t="s">
        <v>2189</v>
      </c>
      <c r="K185" s="15" t="s">
        <v>982</v>
      </c>
      <c r="L185" s="10" t="s">
        <v>2799</v>
      </c>
      <c r="M185" s="10" t="s">
        <v>2408</v>
      </c>
      <c r="N185" s="11">
        <v>42921</v>
      </c>
      <c r="O185" s="10" t="s">
        <v>1629</v>
      </c>
      <c r="P185" s="10" t="s">
        <v>1630</v>
      </c>
      <c r="Q185" s="10" t="s">
        <v>335</v>
      </c>
      <c r="R185" s="10" t="s">
        <v>1631</v>
      </c>
      <c r="S185" s="10" t="s">
        <v>1632</v>
      </c>
      <c r="T185" s="10" t="s">
        <v>1633</v>
      </c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1:31">
      <c r="A186" s="6">
        <v>184</v>
      </c>
      <c r="B186" s="22" t="s">
        <v>1634</v>
      </c>
      <c r="C186" s="6" t="s">
        <v>1635</v>
      </c>
      <c r="D186" s="16">
        <v>19</v>
      </c>
      <c r="E186" s="16" t="s">
        <v>1636</v>
      </c>
      <c r="F186" s="10" t="s">
        <v>1637</v>
      </c>
      <c r="G186" s="10"/>
      <c r="H186" s="10" t="s">
        <v>76</v>
      </c>
      <c r="I186" s="10" t="s">
        <v>51</v>
      </c>
      <c r="J186" s="10" t="s">
        <v>53</v>
      </c>
      <c r="K186" s="15" t="s">
        <v>982</v>
      </c>
      <c r="L186" s="10" t="s">
        <v>53</v>
      </c>
      <c r="M186" s="10" t="s">
        <v>1540</v>
      </c>
      <c r="N186" s="11">
        <v>42921</v>
      </c>
      <c r="O186" s="10" t="s">
        <v>1638</v>
      </c>
      <c r="P186" s="10" t="s">
        <v>1639</v>
      </c>
      <c r="Q186" s="10" t="s">
        <v>38</v>
      </c>
      <c r="R186" s="10" t="s">
        <v>1640</v>
      </c>
      <c r="S186" s="10" t="s">
        <v>1641</v>
      </c>
      <c r="T186" s="9" t="s">
        <v>1003</v>
      </c>
      <c r="U186" s="10"/>
      <c r="V186" s="9" t="s">
        <v>61</v>
      </c>
      <c r="W186" s="10" t="s">
        <v>1642</v>
      </c>
      <c r="X186" s="10" t="s">
        <v>62</v>
      </c>
      <c r="Y186" s="10" t="s">
        <v>98</v>
      </c>
      <c r="Z186" s="9" t="s">
        <v>48</v>
      </c>
      <c r="AA186" s="9" t="s">
        <v>48</v>
      </c>
      <c r="AB186" s="10" t="s">
        <v>1643</v>
      </c>
      <c r="AC186" s="10" t="s">
        <v>48</v>
      </c>
      <c r="AD186" s="9" t="s">
        <v>48</v>
      </c>
      <c r="AE186" s="9" t="s">
        <v>48</v>
      </c>
    </row>
    <row r="187" spans="1:31">
      <c r="A187" s="6">
        <v>185</v>
      </c>
      <c r="B187" s="6" t="s">
        <v>2166</v>
      </c>
      <c r="C187" s="6" t="s">
        <v>1536</v>
      </c>
      <c r="D187" s="16">
        <v>4</v>
      </c>
      <c r="E187" s="33" t="s">
        <v>2167</v>
      </c>
      <c r="F187" s="10" t="s">
        <v>2168</v>
      </c>
      <c r="G187" s="10"/>
      <c r="H187" s="10" t="s">
        <v>76</v>
      </c>
      <c r="I187" s="10" t="s">
        <v>32</v>
      </c>
      <c r="J187" s="10" t="s">
        <v>2802</v>
      </c>
      <c r="K187" s="15" t="s">
        <v>1243</v>
      </c>
      <c r="L187" s="10" t="s">
        <v>53</v>
      </c>
      <c r="M187" s="10" t="s">
        <v>984</v>
      </c>
      <c r="N187" s="11">
        <v>42929</v>
      </c>
      <c r="O187" s="10" t="s">
        <v>2170</v>
      </c>
      <c r="P187" s="10" t="s">
        <v>2171</v>
      </c>
      <c r="Q187" s="10" t="s">
        <v>38</v>
      </c>
      <c r="R187" s="10" t="s">
        <v>2172</v>
      </c>
      <c r="S187" s="10" t="s">
        <v>2173</v>
      </c>
      <c r="T187" s="9" t="s">
        <v>1404</v>
      </c>
      <c r="U187" s="10" t="s">
        <v>2174</v>
      </c>
      <c r="V187" s="9" t="s">
        <v>2175</v>
      </c>
      <c r="W187" s="10" t="s">
        <v>2176</v>
      </c>
      <c r="X187" s="10" t="s">
        <v>62</v>
      </c>
      <c r="Y187" s="10" t="s">
        <v>45</v>
      </c>
      <c r="Z187" s="9" t="s">
        <v>88</v>
      </c>
      <c r="AA187" s="13" t="s">
        <v>2177</v>
      </c>
      <c r="AB187" s="10" t="s">
        <v>48</v>
      </c>
      <c r="AC187" s="10" t="s">
        <v>48</v>
      </c>
      <c r="AD187" s="10" t="s">
        <v>48</v>
      </c>
      <c r="AE187" s="10" t="s">
        <v>48</v>
      </c>
    </row>
    <row r="188" spans="1:31">
      <c r="A188" s="6">
        <v>186</v>
      </c>
      <c r="B188" s="22" t="s">
        <v>2282</v>
      </c>
      <c r="C188" s="7" t="s">
        <v>1018</v>
      </c>
      <c r="D188" s="8" t="s">
        <v>1018</v>
      </c>
      <c r="E188" s="8" t="s">
        <v>1018</v>
      </c>
      <c r="F188" s="10" t="s">
        <v>2283</v>
      </c>
      <c r="G188" s="10"/>
      <c r="H188" s="10" t="s">
        <v>76</v>
      </c>
      <c r="I188" s="10" t="s">
        <v>51</v>
      </c>
      <c r="J188" s="10" t="s">
        <v>2803</v>
      </c>
      <c r="K188" s="15" t="s">
        <v>982</v>
      </c>
      <c r="L188" s="10" t="s">
        <v>91</v>
      </c>
      <c r="M188" s="9" t="s">
        <v>2017</v>
      </c>
      <c r="N188" s="11">
        <v>2012</v>
      </c>
      <c r="O188" s="9" t="s">
        <v>2285</v>
      </c>
      <c r="P188" s="9" t="s">
        <v>2286</v>
      </c>
      <c r="Q188" s="12" t="s">
        <v>38</v>
      </c>
      <c r="R188" s="12" t="s">
        <v>1905</v>
      </c>
      <c r="S188" s="9" t="s">
        <v>2287</v>
      </c>
      <c r="T188" s="9" t="s">
        <v>2288</v>
      </c>
      <c r="U188" s="9" t="s">
        <v>1907</v>
      </c>
      <c r="V188" s="9" t="s">
        <v>2289</v>
      </c>
      <c r="W188" s="13" t="s">
        <v>1103</v>
      </c>
      <c r="X188" s="13" t="s">
        <v>1773</v>
      </c>
      <c r="Y188" s="9" t="s">
        <v>45</v>
      </c>
      <c r="Z188" s="9" t="s">
        <v>1116</v>
      </c>
      <c r="AA188" s="9"/>
      <c r="AB188" s="9" t="s">
        <v>48</v>
      </c>
      <c r="AC188" s="10" t="s">
        <v>48</v>
      </c>
      <c r="AD188" s="9" t="s">
        <v>48</v>
      </c>
      <c r="AE188" s="9" t="s">
        <v>48</v>
      </c>
    </row>
    <row r="189" spans="1:31">
      <c r="A189" s="6">
        <v>187</v>
      </c>
      <c r="B189" s="22" t="s">
        <v>1731</v>
      </c>
      <c r="C189" s="6"/>
      <c r="D189" s="16"/>
      <c r="E189" s="16"/>
      <c r="F189" s="10" t="s">
        <v>1732</v>
      </c>
      <c r="G189" s="10"/>
      <c r="H189" s="10" t="s">
        <v>76</v>
      </c>
      <c r="I189" s="10" t="s">
        <v>51</v>
      </c>
      <c r="J189" s="10" t="s">
        <v>1733</v>
      </c>
      <c r="K189" s="15" t="s">
        <v>982</v>
      </c>
      <c r="L189" s="10" t="s">
        <v>1659</v>
      </c>
      <c r="M189" s="10" t="s">
        <v>2804</v>
      </c>
      <c r="N189" s="11" t="s">
        <v>1018</v>
      </c>
      <c r="O189" s="10" t="s">
        <v>1734</v>
      </c>
      <c r="P189" s="10" t="s">
        <v>1735</v>
      </c>
      <c r="Q189" s="10" t="s">
        <v>38</v>
      </c>
      <c r="R189" s="10" t="s">
        <v>1736</v>
      </c>
      <c r="S189" s="10" t="s">
        <v>1737</v>
      </c>
      <c r="T189" s="10" t="s">
        <v>1738</v>
      </c>
      <c r="U189" s="10" t="s">
        <v>1739</v>
      </c>
      <c r="V189" s="10" t="s">
        <v>1740</v>
      </c>
      <c r="W189" s="10" t="s">
        <v>1741</v>
      </c>
      <c r="X189" s="10" t="s">
        <v>1742</v>
      </c>
      <c r="Y189" s="10" t="s">
        <v>1743</v>
      </c>
      <c r="Z189" s="10" t="s">
        <v>1744</v>
      </c>
      <c r="AA189" s="10" t="s">
        <v>48</v>
      </c>
      <c r="AB189" s="10" t="s">
        <v>48</v>
      </c>
      <c r="AC189" s="10" t="s">
        <v>48</v>
      </c>
      <c r="AD189" s="10" t="s">
        <v>48</v>
      </c>
      <c r="AE189" s="10" t="s">
        <v>48</v>
      </c>
    </row>
    <row r="190" spans="1:31">
      <c r="A190" s="39">
        <v>188</v>
      </c>
      <c r="B190" s="40" t="s">
        <v>2805</v>
      </c>
      <c r="C190" s="39" t="s">
        <v>1536</v>
      </c>
      <c r="D190" s="125">
        <v>26</v>
      </c>
      <c r="E190" s="125" t="s">
        <v>1602</v>
      </c>
      <c r="F190" s="104" t="s">
        <v>2806</v>
      </c>
      <c r="G190" s="104"/>
      <c r="H190" s="104" t="s">
        <v>2393</v>
      </c>
      <c r="I190" s="104" t="s">
        <v>51</v>
      </c>
      <c r="J190" s="104"/>
      <c r="K190" s="105" t="s">
        <v>982</v>
      </c>
      <c r="L190" s="104" t="s">
        <v>2799</v>
      </c>
      <c r="M190" s="104" t="s">
        <v>2408</v>
      </c>
      <c r="N190" s="106">
        <v>42941</v>
      </c>
      <c r="O190" s="104" t="s">
        <v>2807</v>
      </c>
      <c r="P190" s="104" t="s">
        <v>2808</v>
      </c>
      <c r="Q190" s="104" t="s">
        <v>335</v>
      </c>
      <c r="R190" s="104" t="s">
        <v>1631</v>
      </c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</row>
    <row r="191" spans="1:31">
      <c r="A191" s="6">
        <v>189</v>
      </c>
      <c r="B191" s="22" t="s">
        <v>1644</v>
      </c>
      <c r="C191" s="6" t="s">
        <v>1635</v>
      </c>
      <c r="D191" s="16">
        <v>16</v>
      </c>
      <c r="E191" s="16" t="s">
        <v>1645</v>
      </c>
      <c r="F191" s="10" t="s">
        <v>1646</v>
      </c>
      <c r="G191" s="10"/>
      <c r="H191" s="10" t="s">
        <v>1181</v>
      </c>
      <c r="I191" s="10" t="s">
        <v>51</v>
      </c>
      <c r="J191" s="10" t="s">
        <v>2809</v>
      </c>
      <c r="K191" s="15" t="s">
        <v>982</v>
      </c>
      <c r="L191" s="10" t="s">
        <v>53</v>
      </c>
      <c r="M191" s="10" t="s">
        <v>984</v>
      </c>
      <c r="N191" s="11">
        <v>42941</v>
      </c>
      <c r="O191" s="10"/>
      <c r="P191" s="10" t="s">
        <v>1647</v>
      </c>
      <c r="Q191" s="10" t="s">
        <v>335</v>
      </c>
      <c r="R191" s="10" t="s">
        <v>1631</v>
      </c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spans="1:31">
      <c r="A192" s="6">
        <v>190</v>
      </c>
      <c r="B192" s="22" t="s">
        <v>2004</v>
      </c>
      <c r="C192" s="34" t="s">
        <v>1610</v>
      </c>
      <c r="D192" s="35" t="s">
        <v>2005</v>
      </c>
      <c r="E192" s="33" t="s">
        <v>1645</v>
      </c>
      <c r="F192" s="10" t="s">
        <v>2006</v>
      </c>
      <c r="G192" s="10"/>
      <c r="H192" s="10" t="s">
        <v>76</v>
      </c>
      <c r="I192" s="10" t="s">
        <v>32</v>
      </c>
      <c r="J192" s="10" t="s">
        <v>1621</v>
      </c>
      <c r="K192" s="15" t="s">
        <v>982</v>
      </c>
      <c r="L192" s="10" t="s">
        <v>199</v>
      </c>
      <c r="M192" s="9" t="s">
        <v>1389</v>
      </c>
      <c r="N192" s="11">
        <v>42976</v>
      </c>
      <c r="O192" s="9" t="s">
        <v>2008</v>
      </c>
      <c r="P192" s="10" t="s">
        <v>2009</v>
      </c>
      <c r="Q192" s="10" t="s">
        <v>38</v>
      </c>
      <c r="R192" s="10" t="s">
        <v>67</v>
      </c>
      <c r="S192" s="10" t="s">
        <v>2010</v>
      </c>
      <c r="T192" s="10" t="s">
        <v>1062</v>
      </c>
      <c r="U192" s="10" t="s">
        <v>2011</v>
      </c>
      <c r="V192" s="10" t="s">
        <v>70</v>
      </c>
      <c r="W192" s="10" t="s">
        <v>1025</v>
      </c>
      <c r="X192" s="10" t="s">
        <v>62</v>
      </c>
      <c r="Y192" s="10" t="s">
        <v>87</v>
      </c>
      <c r="Z192" s="10" t="s">
        <v>88</v>
      </c>
      <c r="AA192" s="10" t="s">
        <v>2012</v>
      </c>
      <c r="AB192" s="10" t="s">
        <v>48</v>
      </c>
      <c r="AC192" s="10" t="s">
        <v>48</v>
      </c>
      <c r="AD192" s="10" t="s">
        <v>48</v>
      </c>
      <c r="AE192" s="10" t="s">
        <v>48</v>
      </c>
    </row>
    <row r="193" spans="1:31">
      <c r="A193" s="6">
        <v>191</v>
      </c>
      <c r="B193" s="22" t="s">
        <v>1056</v>
      </c>
      <c r="C193" s="36" t="s">
        <v>1018</v>
      </c>
      <c r="D193" s="33" t="s">
        <v>1018</v>
      </c>
      <c r="E193" s="33" t="s">
        <v>1018</v>
      </c>
      <c r="F193" s="10" t="s">
        <v>1057</v>
      </c>
      <c r="G193" s="10"/>
      <c r="H193" s="10" t="s">
        <v>76</v>
      </c>
      <c r="I193" s="10" t="s">
        <v>32</v>
      </c>
      <c r="J193" s="10" t="s">
        <v>1461</v>
      </c>
      <c r="K193" s="15" t="s">
        <v>982</v>
      </c>
      <c r="L193" s="10" t="s">
        <v>35</v>
      </c>
      <c r="M193" s="10" t="s">
        <v>984</v>
      </c>
      <c r="N193" s="11">
        <v>42976</v>
      </c>
      <c r="O193" s="10" t="s">
        <v>1059</v>
      </c>
      <c r="P193" s="10" t="s">
        <v>1060</v>
      </c>
      <c r="Q193" s="10" t="s">
        <v>38</v>
      </c>
      <c r="R193" s="37" t="s">
        <v>82</v>
      </c>
      <c r="S193" s="10" t="s">
        <v>1061</v>
      </c>
      <c r="T193" s="10" t="s">
        <v>1062</v>
      </c>
      <c r="U193" s="10" t="s">
        <v>1063</v>
      </c>
      <c r="V193" s="10" t="s">
        <v>85</v>
      </c>
      <c r="W193" s="10" t="s">
        <v>1064</v>
      </c>
      <c r="X193" s="10" t="s">
        <v>86</v>
      </c>
      <c r="Y193" s="10" t="s">
        <v>87</v>
      </c>
      <c r="Z193" s="10" t="s">
        <v>88</v>
      </c>
      <c r="AA193" s="10" t="s">
        <v>1065</v>
      </c>
      <c r="AB193" s="10" t="s">
        <v>48</v>
      </c>
      <c r="AC193" s="10" t="s">
        <v>48</v>
      </c>
      <c r="AD193" s="10" t="s">
        <v>48</v>
      </c>
      <c r="AE193" s="10" t="s">
        <v>48</v>
      </c>
    </row>
    <row r="194" spans="1:31">
      <c r="A194" s="6">
        <v>192</v>
      </c>
      <c r="B194" s="22" t="s">
        <v>1066</v>
      </c>
      <c r="C194" s="36" t="s">
        <v>1018</v>
      </c>
      <c r="D194" s="33" t="s">
        <v>1018</v>
      </c>
      <c r="E194" s="33" t="s">
        <v>1018</v>
      </c>
      <c r="F194" s="10" t="s">
        <v>1067</v>
      </c>
      <c r="G194" s="10"/>
      <c r="H194" s="10" t="s">
        <v>76</v>
      </c>
      <c r="I194" s="10" t="s">
        <v>32</v>
      </c>
      <c r="J194" s="10" t="s">
        <v>1068</v>
      </c>
      <c r="K194" s="15" t="s">
        <v>982</v>
      </c>
      <c r="L194" s="10" t="s">
        <v>983</v>
      </c>
      <c r="M194" s="10" t="s">
        <v>984</v>
      </c>
      <c r="N194" s="11">
        <v>42976</v>
      </c>
      <c r="O194" s="10" t="s">
        <v>1069</v>
      </c>
      <c r="P194" s="10" t="s">
        <v>1070</v>
      </c>
      <c r="Q194" s="10" t="s">
        <v>38</v>
      </c>
      <c r="R194" s="37" t="s">
        <v>82</v>
      </c>
      <c r="S194" s="10" t="s">
        <v>83</v>
      </c>
      <c r="T194" s="10" t="s">
        <v>1062</v>
      </c>
      <c r="U194" s="10" t="s">
        <v>84</v>
      </c>
      <c r="V194" s="10" t="s">
        <v>85</v>
      </c>
      <c r="W194" s="10" t="s">
        <v>1064</v>
      </c>
      <c r="X194" s="10" t="s">
        <v>86</v>
      </c>
      <c r="Y194" s="10" t="s">
        <v>87</v>
      </c>
      <c r="Z194" s="10" t="s">
        <v>88</v>
      </c>
      <c r="AA194" s="10" t="s">
        <v>89</v>
      </c>
      <c r="AB194" s="10" t="s">
        <v>48</v>
      </c>
      <c r="AC194" s="10" t="s">
        <v>48</v>
      </c>
      <c r="AD194" s="10" t="s">
        <v>48</v>
      </c>
      <c r="AE194" s="10" t="s">
        <v>48</v>
      </c>
    </row>
    <row r="195" spans="1:31">
      <c r="A195" s="6">
        <v>193</v>
      </c>
      <c r="B195" s="22" t="s">
        <v>1458</v>
      </c>
      <c r="C195" s="36" t="s">
        <v>1459</v>
      </c>
      <c r="D195" s="33" t="s">
        <v>1459</v>
      </c>
      <c r="E195" s="33" t="s">
        <v>1459</v>
      </c>
      <c r="F195" s="10" t="s">
        <v>1460</v>
      </c>
      <c r="G195" s="10"/>
      <c r="H195" s="10" t="s">
        <v>76</v>
      </c>
      <c r="I195" s="10" t="s">
        <v>32</v>
      </c>
      <c r="J195" s="10" t="s">
        <v>2744</v>
      </c>
      <c r="K195" s="15" t="s">
        <v>1243</v>
      </c>
      <c r="L195" s="10" t="s">
        <v>2629</v>
      </c>
      <c r="M195" s="10" t="s">
        <v>984</v>
      </c>
      <c r="N195" s="11">
        <v>43020</v>
      </c>
      <c r="O195" s="10" t="s">
        <v>92</v>
      </c>
      <c r="P195" s="10" t="s">
        <v>93</v>
      </c>
      <c r="Q195" s="10" t="s">
        <v>94</v>
      </c>
      <c r="R195" s="10" t="s">
        <v>95</v>
      </c>
      <c r="S195" s="10" t="s">
        <v>96</v>
      </c>
      <c r="T195" s="10" t="s">
        <v>1062</v>
      </c>
      <c r="U195" s="29" t="s">
        <v>97</v>
      </c>
      <c r="V195" s="10" t="s">
        <v>85</v>
      </c>
      <c r="W195" s="10" t="s">
        <v>1462</v>
      </c>
      <c r="X195" s="10" t="s">
        <v>86</v>
      </c>
      <c r="Y195" s="10" t="s">
        <v>98</v>
      </c>
      <c r="Z195" s="10" t="s">
        <v>88</v>
      </c>
      <c r="AA195" s="10" t="s">
        <v>212</v>
      </c>
      <c r="AB195" s="10" t="s">
        <v>48</v>
      </c>
      <c r="AC195" s="10" t="s">
        <v>48</v>
      </c>
      <c r="AD195" s="10" t="s">
        <v>48</v>
      </c>
      <c r="AE195" s="10" t="s">
        <v>48</v>
      </c>
    </row>
    <row r="196" spans="1:31">
      <c r="A196" s="6">
        <v>194</v>
      </c>
      <c r="B196" s="22" t="s">
        <v>2178</v>
      </c>
      <c r="C196" s="36" t="s">
        <v>1459</v>
      </c>
      <c r="D196" s="33" t="s">
        <v>1459</v>
      </c>
      <c r="E196" s="33" t="s">
        <v>1459</v>
      </c>
      <c r="F196" s="10" t="s">
        <v>2179</v>
      </c>
      <c r="G196" s="10"/>
      <c r="H196" s="10" t="s">
        <v>76</v>
      </c>
      <c r="I196" s="10" t="s">
        <v>32</v>
      </c>
      <c r="J196" s="10" t="s">
        <v>2180</v>
      </c>
      <c r="K196" s="15" t="s">
        <v>982</v>
      </c>
      <c r="L196" s="10" t="s">
        <v>53</v>
      </c>
      <c r="M196" s="10" t="s">
        <v>984</v>
      </c>
      <c r="N196" s="11" t="s">
        <v>1018</v>
      </c>
      <c r="O196" s="10" t="s">
        <v>2181</v>
      </c>
      <c r="P196" s="10" t="s">
        <v>2182</v>
      </c>
      <c r="Q196" s="10" t="s">
        <v>2183</v>
      </c>
      <c r="R196" s="10" t="s">
        <v>2184</v>
      </c>
      <c r="S196" s="10" t="s">
        <v>2185</v>
      </c>
      <c r="T196" s="10" t="s">
        <v>2186</v>
      </c>
      <c r="U196" s="10"/>
      <c r="V196" s="10"/>
      <c r="W196" s="10"/>
      <c r="X196" s="10"/>
      <c r="Y196" s="10"/>
      <c r="Z196" s="10"/>
      <c r="AA196" s="10"/>
      <c r="AB196" s="10" t="s">
        <v>48</v>
      </c>
      <c r="AC196" s="10" t="s">
        <v>48</v>
      </c>
      <c r="AD196" s="10" t="s">
        <v>48</v>
      </c>
      <c r="AE196" s="10" t="s">
        <v>48</v>
      </c>
    </row>
    <row r="197" spans="1:31">
      <c r="A197" s="6">
        <v>195</v>
      </c>
      <c r="B197" s="22" t="s">
        <v>2359</v>
      </c>
      <c r="C197" s="6"/>
      <c r="D197" s="16"/>
      <c r="E197" s="16"/>
      <c r="F197" s="10" t="s">
        <v>2360</v>
      </c>
      <c r="G197" s="10"/>
      <c r="H197" s="10" t="s">
        <v>76</v>
      </c>
      <c r="I197" s="10" t="s">
        <v>32</v>
      </c>
      <c r="J197" s="10" t="s">
        <v>2361</v>
      </c>
      <c r="K197" s="15" t="s">
        <v>982</v>
      </c>
      <c r="L197" s="10" t="s">
        <v>181</v>
      </c>
      <c r="M197" s="10" t="s">
        <v>2293</v>
      </c>
      <c r="N197" s="11">
        <v>43177</v>
      </c>
      <c r="O197" s="10" t="s">
        <v>101</v>
      </c>
      <c r="P197" s="10" t="s">
        <v>102</v>
      </c>
      <c r="Q197" s="10" t="s">
        <v>38</v>
      </c>
      <c r="R197" s="10" t="s">
        <v>103</v>
      </c>
      <c r="S197" s="10" t="s">
        <v>104</v>
      </c>
      <c r="T197" s="10" t="s">
        <v>1062</v>
      </c>
      <c r="U197" s="10" t="s">
        <v>105</v>
      </c>
      <c r="V197" s="10" t="s">
        <v>106</v>
      </c>
      <c r="W197" s="10" t="s">
        <v>1221</v>
      </c>
      <c r="X197" s="10" t="s">
        <v>107</v>
      </c>
      <c r="Y197" s="10" t="s">
        <v>45</v>
      </c>
      <c r="Z197" s="10" t="s">
        <v>88</v>
      </c>
      <c r="AA197" s="10" t="s">
        <v>108</v>
      </c>
      <c r="AB197" s="10" t="s">
        <v>48</v>
      </c>
      <c r="AC197" s="10" t="s">
        <v>48</v>
      </c>
      <c r="AD197" s="10" t="s">
        <v>48</v>
      </c>
      <c r="AE197" s="10" t="s">
        <v>48</v>
      </c>
    </row>
    <row r="198" spans="1:31">
      <c r="A198" s="6">
        <v>196</v>
      </c>
      <c r="B198" s="22" t="s">
        <v>1990</v>
      </c>
      <c r="C198" s="6"/>
      <c r="D198" s="16"/>
      <c r="E198" s="16"/>
      <c r="F198" s="10" t="s">
        <v>1991</v>
      </c>
      <c r="G198" s="10"/>
      <c r="H198" s="10" t="s">
        <v>76</v>
      </c>
      <c r="I198" s="10" t="s">
        <v>32</v>
      </c>
      <c r="J198" s="10" t="s">
        <v>1992</v>
      </c>
      <c r="K198" s="15" t="s">
        <v>982</v>
      </c>
      <c r="L198" s="10" t="s">
        <v>79</v>
      </c>
      <c r="M198" s="10" t="s">
        <v>1804</v>
      </c>
      <c r="N198" s="11">
        <v>43191</v>
      </c>
      <c r="O198" s="10" t="s">
        <v>1993</v>
      </c>
      <c r="P198" s="10" t="s">
        <v>1994</v>
      </c>
      <c r="Q198" s="10" t="s">
        <v>38</v>
      </c>
      <c r="R198" s="10" t="s">
        <v>103</v>
      </c>
      <c r="S198" s="10" t="s">
        <v>113</v>
      </c>
      <c r="T198" s="10" t="s">
        <v>1062</v>
      </c>
      <c r="U198" s="10" t="s">
        <v>114</v>
      </c>
      <c r="V198" s="10" t="s">
        <v>106</v>
      </c>
      <c r="W198" s="10" t="s">
        <v>1221</v>
      </c>
      <c r="X198" s="10" t="s">
        <v>107</v>
      </c>
      <c r="Y198" s="10" t="s">
        <v>45</v>
      </c>
      <c r="Z198" s="10" t="s">
        <v>88</v>
      </c>
      <c r="AA198" s="10" t="s">
        <v>115</v>
      </c>
      <c r="AB198" s="10" t="s">
        <v>48</v>
      </c>
      <c r="AC198" s="10" t="s">
        <v>48</v>
      </c>
      <c r="AD198" s="10" t="s">
        <v>48</v>
      </c>
      <c r="AE198" s="10" t="s">
        <v>48</v>
      </c>
    </row>
    <row r="199" spans="1:31">
      <c r="A199" s="6">
        <v>197</v>
      </c>
      <c r="B199" s="22" t="s">
        <v>1071</v>
      </c>
      <c r="C199" s="6" t="s">
        <v>978</v>
      </c>
      <c r="D199" s="16">
        <v>40</v>
      </c>
      <c r="E199" s="16" t="s">
        <v>1072</v>
      </c>
      <c r="F199" s="10" t="s">
        <v>1073</v>
      </c>
      <c r="G199" s="10"/>
      <c r="H199" s="10" t="s">
        <v>76</v>
      </c>
      <c r="I199" s="10" t="s">
        <v>51</v>
      </c>
      <c r="J199" s="10" t="s">
        <v>1074</v>
      </c>
      <c r="K199" s="15" t="s">
        <v>982</v>
      </c>
      <c r="L199" s="10" t="s">
        <v>983</v>
      </c>
      <c r="M199" s="10" t="s">
        <v>984</v>
      </c>
      <c r="N199" s="11">
        <v>43220</v>
      </c>
      <c r="O199" s="10" t="s">
        <v>119</v>
      </c>
      <c r="P199" s="38" t="s">
        <v>120</v>
      </c>
      <c r="Q199" s="10" t="s">
        <v>56</v>
      </c>
      <c r="R199" s="10" t="s">
        <v>121</v>
      </c>
      <c r="S199" s="10" t="s">
        <v>122</v>
      </c>
      <c r="T199" s="10" t="s">
        <v>1062</v>
      </c>
      <c r="U199" s="10" t="s">
        <v>123</v>
      </c>
      <c r="V199" s="10" t="s">
        <v>124</v>
      </c>
      <c r="W199" s="10" t="s">
        <v>1075</v>
      </c>
      <c r="X199" s="10" t="s">
        <v>62</v>
      </c>
      <c r="Y199" s="10" t="s">
        <v>98</v>
      </c>
      <c r="Z199" s="10" t="s">
        <v>88</v>
      </c>
      <c r="AA199" s="10" t="s">
        <v>126</v>
      </c>
      <c r="AB199" s="10" t="s">
        <v>48</v>
      </c>
      <c r="AC199" s="10" t="s">
        <v>48</v>
      </c>
      <c r="AD199" s="10" t="s">
        <v>48</v>
      </c>
      <c r="AE199" s="10" t="s">
        <v>48</v>
      </c>
    </row>
    <row r="200" spans="1:31">
      <c r="A200" s="6">
        <v>198</v>
      </c>
      <c r="B200" s="22" t="s">
        <v>2362</v>
      </c>
      <c r="C200" s="20" t="s">
        <v>2310</v>
      </c>
      <c r="D200" s="16">
        <v>5</v>
      </c>
      <c r="E200" s="16" t="s">
        <v>2363</v>
      </c>
      <c r="F200" s="10" t="s">
        <v>2364</v>
      </c>
      <c r="G200" s="10"/>
      <c r="H200" s="10" t="s">
        <v>76</v>
      </c>
      <c r="I200" s="10" t="s">
        <v>51</v>
      </c>
      <c r="J200" s="10" t="s">
        <v>2365</v>
      </c>
      <c r="K200" s="15" t="s">
        <v>982</v>
      </c>
      <c r="L200" s="10" t="s">
        <v>181</v>
      </c>
      <c r="M200" s="10" t="s">
        <v>2293</v>
      </c>
      <c r="N200" s="11">
        <v>43220</v>
      </c>
      <c r="O200" s="10" t="s">
        <v>2366</v>
      </c>
      <c r="P200" s="10" t="s">
        <v>130</v>
      </c>
      <c r="Q200" s="10" t="s">
        <v>56</v>
      </c>
      <c r="R200" s="10" t="s">
        <v>121</v>
      </c>
      <c r="S200" s="10" t="s">
        <v>131</v>
      </c>
      <c r="T200" s="10" t="s">
        <v>1062</v>
      </c>
      <c r="U200" s="10" t="s">
        <v>123</v>
      </c>
      <c r="V200" s="10" t="s">
        <v>124</v>
      </c>
      <c r="W200" s="10" t="s">
        <v>1075</v>
      </c>
      <c r="X200" s="10" t="s">
        <v>62</v>
      </c>
      <c r="Y200" s="10" t="s">
        <v>98</v>
      </c>
      <c r="Z200" s="10" t="s">
        <v>88</v>
      </c>
      <c r="AA200" s="10" t="s">
        <v>132</v>
      </c>
      <c r="AB200" s="10" t="s">
        <v>48</v>
      </c>
      <c r="AC200" s="10" t="s">
        <v>48</v>
      </c>
      <c r="AD200" s="10" t="s">
        <v>48</v>
      </c>
      <c r="AE200" s="10" t="s">
        <v>48</v>
      </c>
    </row>
    <row r="201" spans="1:31">
      <c r="A201" s="6">
        <v>199</v>
      </c>
      <c r="B201" s="22" t="s">
        <v>1198</v>
      </c>
      <c r="C201" s="20"/>
      <c r="D201" s="16"/>
      <c r="E201" s="16"/>
      <c r="F201" s="10" t="s">
        <v>1199</v>
      </c>
      <c r="G201" s="10"/>
      <c r="H201" s="10" t="s">
        <v>76</v>
      </c>
      <c r="I201" s="10" t="s">
        <v>51</v>
      </c>
      <c r="J201" s="10" t="s">
        <v>2810</v>
      </c>
      <c r="K201" s="15" t="s">
        <v>982</v>
      </c>
      <c r="L201" s="10" t="s">
        <v>73</v>
      </c>
      <c r="M201" s="10" t="s">
        <v>1193</v>
      </c>
      <c r="N201" s="11">
        <v>43220</v>
      </c>
      <c r="O201" s="10" t="s">
        <v>1201</v>
      </c>
      <c r="P201" s="10" t="s">
        <v>1202</v>
      </c>
      <c r="Q201" s="10" t="s">
        <v>56</v>
      </c>
      <c r="R201" s="10" t="s">
        <v>121</v>
      </c>
      <c r="S201" s="10" t="s">
        <v>1203</v>
      </c>
      <c r="T201" s="10" t="s">
        <v>1062</v>
      </c>
      <c r="U201" s="10" t="s">
        <v>1204</v>
      </c>
      <c r="V201" s="10" t="s">
        <v>124</v>
      </c>
      <c r="W201" s="10" t="s">
        <v>1075</v>
      </c>
      <c r="X201" s="10" t="s">
        <v>62</v>
      </c>
      <c r="Y201" s="10" t="s">
        <v>98</v>
      </c>
      <c r="Z201" s="10" t="s">
        <v>88</v>
      </c>
      <c r="AA201" s="10" t="s">
        <v>1205</v>
      </c>
      <c r="AB201" s="10" t="s">
        <v>48</v>
      </c>
      <c r="AC201" s="10" t="s">
        <v>48</v>
      </c>
      <c r="AD201" s="10" t="s">
        <v>48</v>
      </c>
      <c r="AE201" s="10" t="s">
        <v>48</v>
      </c>
    </row>
    <row r="202" spans="1:31">
      <c r="A202" s="6">
        <v>200</v>
      </c>
      <c r="B202" s="22" t="s">
        <v>2035</v>
      </c>
      <c r="C202" s="20"/>
      <c r="D202" s="16"/>
      <c r="E202" s="16"/>
      <c r="F202" s="10" t="s">
        <v>2036</v>
      </c>
      <c r="G202" s="10"/>
      <c r="H202" s="10" t="s">
        <v>76</v>
      </c>
      <c r="I202" s="10" t="s">
        <v>51</v>
      </c>
      <c r="J202" s="10" t="s">
        <v>2037</v>
      </c>
      <c r="K202" s="15" t="s">
        <v>982</v>
      </c>
      <c r="L202" s="10" t="s">
        <v>2038</v>
      </c>
      <c r="M202" s="10" t="s">
        <v>1193</v>
      </c>
      <c r="N202" s="11">
        <v>43220</v>
      </c>
      <c r="O202" s="10" t="s">
        <v>2039</v>
      </c>
      <c r="P202" s="10" t="s">
        <v>2040</v>
      </c>
      <c r="Q202" s="10" t="s">
        <v>56</v>
      </c>
      <c r="R202" s="10" t="s">
        <v>121</v>
      </c>
      <c r="S202" s="10" t="s">
        <v>2041</v>
      </c>
      <c r="T202" s="10" t="s">
        <v>1062</v>
      </c>
      <c r="U202" s="10" t="s">
        <v>2042</v>
      </c>
      <c r="V202" s="10" t="s">
        <v>124</v>
      </c>
      <c r="W202" s="10" t="s">
        <v>1075</v>
      </c>
      <c r="X202" s="10" t="s">
        <v>62</v>
      </c>
      <c r="Y202" s="10" t="s">
        <v>98</v>
      </c>
      <c r="Z202" s="10" t="s">
        <v>88</v>
      </c>
      <c r="AA202" s="10" t="s">
        <v>348</v>
      </c>
      <c r="AB202" s="10" t="s">
        <v>48</v>
      </c>
      <c r="AC202" s="10" t="s">
        <v>48</v>
      </c>
      <c r="AD202" s="10" t="s">
        <v>48</v>
      </c>
      <c r="AE202" s="10" t="s">
        <v>48</v>
      </c>
    </row>
    <row r="203" spans="1:31" ht="15" customHeight="1">
      <c r="A203" s="6">
        <v>201</v>
      </c>
      <c r="B203" s="22" t="s">
        <v>2187</v>
      </c>
      <c r="C203" s="6"/>
      <c r="D203" s="16"/>
      <c r="E203" s="16"/>
      <c r="F203" s="10" t="s">
        <v>2188</v>
      </c>
      <c r="G203" s="10"/>
      <c r="H203" s="10" t="s">
        <v>76</v>
      </c>
      <c r="I203" s="10" t="s">
        <v>51</v>
      </c>
      <c r="J203" s="10" t="s">
        <v>2811</v>
      </c>
      <c r="K203" s="15" t="s">
        <v>34</v>
      </c>
      <c r="L203" s="10" t="s">
        <v>2812</v>
      </c>
      <c r="M203" s="10" t="s">
        <v>1352</v>
      </c>
      <c r="N203" s="11">
        <v>43220</v>
      </c>
      <c r="O203" s="10" t="s">
        <v>2190</v>
      </c>
      <c r="P203" s="10" t="s">
        <v>2191</v>
      </c>
      <c r="Q203" s="10" t="s">
        <v>56</v>
      </c>
      <c r="R203" s="10" t="s">
        <v>121</v>
      </c>
      <c r="S203" s="10" t="s">
        <v>139</v>
      </c>
      <c r="T203" s="10" t="s">
        <v>1062</v>
      </c>
      <c r="U203" s="10" t="s">
        <v>1204</v>
      </c>
      <c r="V203" s="10" t="s">
        <v>124</v>
      </c>
      <c r="W203" s="10" t="s">
        <v>1075</v>
      </c>
      <c r="X203" s="10" t="s">
        <v>62</v>
      </c>
      <c r="Y203" s="10" t="s">
        <v>98</v>
      </c>
      <c r="Z203" s="10" t="s">
        <v>88</v>
      </c>
      <c r="AA203" s="10" t="s">
        <v>141</v>
      </c>
      <c r="AB203" s="10" t="s">
        <v>48</v>
      </c>
      <c r="AC203" s="10" t="s">
        <v>48</v>
      </c>
      <c r="AD203" s="10" t="s">
        <v>48</v>
      </c>
      <c r="AE203" s="10" t="s">
        <v>48</v>
      </c>
    </row>
    <row r="204" spans="1:31" ht="14.45" customHeight="1">
      <c r="A204" s="6">
        <v>202</v>
      </c>
      <c r="B204" s="22" t="s">
        <v>1555</v>
      </c>
      <c r="C204" s="6"/>
      <c r="D204" s="16"/>
      <c r="E204" s="16"/>
      <c r="F204" s="10" t="s">
        <v>1556</v>
      </c>
      <c r="G204" s="10"/>
      <c r="H204" s="10" t="s">
        <v>76</v>
      </c>
      <c r="I204" s="10" t="s">
        <v>32</v>
      </c>
      <c r="J204" s="10" t="s">
        <v>725</v>
      </c>
      <c r="K204" s="15" t="s">
        <v>982</v>
      </c>
      <c r="L204" s="10" t="s">
        <v>1524</v>
      </c>
      <c r="M204" s="10" t="s">
        <v>1389</v>
      </c>
      <c r="N204" s="11">
        <v>43289</v>
      </c>
      <c r="O204" s="10" t="s">
        <v>1557</v>
      </c>
      <c r="P204" s="10" t="s">
        <v>1558</v>
      </c>
      <c r="Q204" s="10" t="s">
        <v>56</v>
      </c>
      <c r="R204" s="10" t="s">
        <v>146</v>
      </c>
      <c r="S204" s="10" t="s">
        <v>147</v>
      </c>
      <c r="T204" s="10" t="s">
        <v>1062</v>
      </c>
      <c r="U204" s="10" t="s">
        <v>148</v>
      </c>
      <c r="V204" s="10" t="s">
        <v>106</v>
      </c>
      <c r="W204" s="10" t="s">
        <v>1221</v>
      </c>
      <c r="X204" s="10" t="s">
        <v>149</v>
      </c>
      <c r="Y204" s="10" t="s">
        <v>98</v>
      </c>
      <c r="Z204" s="10" t="s">
        <v>88</v>
      </c>
      <c r="AA204" s="10" t="s">
        <v>150</v>
      </c>
      <c r="AB204" s="10" t="s">
        <v>364</v>
      </c>
      <c r="AC204" s="10" t="s">
        <v>364</v>
      </c>
      <c r="AD204" s="10" t="s">
        <v>364</v>
      </c>
      <c r="AE204" s="10" t="s">
        <v>364</v>
      </c>
    </row>
    <row r="205" spans="1:31" ht="12.6" customHeight="1">
      <c r="A205" s="6">
        <v>203</v>
      </c>
      <c r="B205" s="22" t="s">
        <v>1216</v>
      </c>
      <c r="C205" s="6"/>
      <c r="D205" s="16"/>
      <c r="E205" s="16"/>
      <c r="F205" t="s">
        <v>1217</v>
      </c>
      <c r="G205" s="10"/>
      <c r="H205" s="10" t="s">
        <v>76</v>
      </c>
      <c r="I205" s="10" t="s">
        <v>32</v>
      </c>
      <c r="J205" s="10" t="s">
        <v>1218</v>
      </c>
      <c r="K205" s="15" t="s">
        <v>982</v>
      </c>
      <c r="L205" s="10" t="s">
        <v>2629</v>
      </c>
      <c r="M205" s="10" t="s">
        <v>1389</v>
      </c>
      <c r="N205" s="11">
        <v>43289</v>
      </c>
      <c r="O205" s="10" t="s">
        <v>1219</v>
      </c>
      <c r="P205" s="10" t="s">
        <v>1220</v>
      </c>
      <c r="Q205" s="10" t="s">
        <v>56</v>
      </c>
      <c r="R205" s="10" t="s">
        <v>146</v>
      </c>
      <c r="S205" s="10" t="s">
        <v>157</v>
      </c>
      <c r="T205" s="10" t="s">
        <v>1062</v>
      </c>
      <c r="U205" s="10" t="s">
        <v>158</v>
      </c>
      <c r="V205" s="10" t="s">
        <v>106</v>
      </c>
      <c r="W205" s="10" t="s">
        <v>1221</v>
      </c>
      <c r="X205" s="10" t="s">
        <v>149</v>
      </c>
      <c r="Y205" s="10" t="s">
        <v>98</v>
      </c>
      <c r="Z205" s="10" t="s">
        <v>88</v>
      </c>
      <c r="AA205" s="10" t="s">
        <v>159</v>
      </c>
      <c r="AB205" s="10" t="s">
        <v>364</v>
      </c>
      <c r="AC205" s="10" t="s">
        <v>364</v>
      </c>
      <c r="AD205" s="10" t="s">
        <v>364</v>
      </c>
      <c r="AE205" s="10" t="s">
        <v>364</v>
      </c>
    </row>
    <row r="206" spans="1:31" ht="12.95" customHeight="1">
      <c r="A206" s="1">
        <v>204</v>
      </c>
      <c r="B206" s="5" t="s">
        <v>1575</v>
      </c>
      <c r="F206" t="s">
        <v>1576</v>
      </c>
      <c r="H206" s="2" t="s">
        <v>76</v>
      </c>
      <c r="I206" s="2" t="s">
        <v>2813</v>
      </c>
      <c r="J206" s="2" t="s">
        <v>2814</v>
      </c>
      <c r="K206" s="14" t="s">
        <v>982</v>
      </c>
      <c r="L206" s="2" t="s">
        <v>983</v>
      </c>
      <c r="M206" s="2" t="s">
        <v>984</v>
      </c>
      <c r="N206" s="3">
        <v>43395</v>
      </c>
      <c r="O206" s="2" t="s">
        <v>1578</v>
      </c>
      <c r="P206" s="2" t="s">
        <v>1579</v>
      </c>
      <c r="Q206" s="2" t="s">
        <v>38</v>
      </c>
      <c r="R206" s="10" t="s">
        <v>67</v>
      </c>
      <c r="S206" s="2" t="s">
        <v>1580</v>
      </c>
      <c r="T206" s="10" t="s">
        <v>1062</v>
      </c>
      <c r="U206" s="2" t="s">
        <v>1581</v>
      </c>
      <c r="V206" s="10" t="s">
        <v>70</v>
      </c>
      <c r="W206" s="10" t="s">
        <v>1025</v>
      </c>
      <c r="X206" s="10" t="s">
        <v>62</v>
      </c>
      <c r="Y206" s="10" t="s">
        <v>87</v>
      </c>
      <c r="Z206" s="10" t="s">
        <v>88</v>
      </c>
      <c r="AB206" s="10" t="s">
        <v>364</v>
      </c>
      <c r="AC206" s="10" t="s">
        <v>364</v>
      </c>
      <c r="AD206" s="10" t="s">
        <v>364</v>
      </c>
      <c r="AE206" s="10" t="s">
        <v>364</v>
      </c>
    </row>
    <row r="207" spans="1:31" ht="15.6" customHeight="1">
      <c r="A207" s="1">
        <v>205</v>
      </c>
      <c r="B207" s="5" t="s">
        <v>2192</v>
      </c>
      <c r="F207" s="2" t="s">
        <v>2193</v>
      </c>
      <c r="H207" s="2" t="s">
        <v>76</v>
      </c>
      <c r="I207" s="2" t="s">
        <v>2813</v>
      </c>
      <c r="J207" s="2" t="s">
        <v>2194</v>
      </c>
      <c r="K207" s="14" t="s">
        <v>136</v>
      </c>
      <c r="L207" s="2" t="s">
        <v>53</v>
      </c>
      <c r="M207" s="2" t="s">
        <v>2165</v>
      </c>
      <c r="N207" s="3">
        <v>43396</v>
      </c>
      <c r="O207" s="2" t="s">
        <v>162</v>
      </c>
      <c r="P207" s="2" t="s">
        <v>163</v>
      </c>
      <c r="Q207" s="2" t="s">
        <v>38</v>
      </c>
      <c r="R207" s="10" t="s">
        <v>67</v>
      </c>
      <c r="S207" s="2" t="s">
        <v>164</v>
      </c>
      <c r="T207" s="10" t="s">
        <v>1062</v>
      </c>
      <c r="U207" s="2" t="s">
        <v>165</v>
      </c>
      <c r="V207" s="10" t="s">
        <v>70</v>
      </c>
      <c r="W207" s="10" t="s">
        <v>1025</v>
      </c>
      <c r="X207" s="10" t="s">
        <v>62</v>
      </c>
      <c r="Y207" s="10" t="s">
        <v>87</v>
      </c>
      <c r="Z207" s="10" t="s">
        <v>88</v>
      </c>
      <c r="AB207" s="10" t="s">
        <v>364</v>
      </c>
      <c r="AC207" s="10" t="s">
        <v>364</v>
      </c>
      <c r="AD207" s="10" t="s">
        <v>364</v>
      </c>
      <c r="AE207" s="10" t="s">
        <v>364</v>
      </c>
    </row>
    <row r="208" spans="1:31" ht="18" customHeight="1">
      <c r="A208" s="1">
        <v>206</v>
      </c>
      <c r="B208" s="5" t="s">
        <v>1745</v>
      </c>
      <c r="F208" s="2" t="s">
        <v>1746</v>
      </c>
      <c r="H208" s="2" t="s">
        <v>76</v>
      </c>
      <c r="I208" s="2" t="s">
        <v>51</v>
      </c>
      <c r="J208" s="2" t="s">
        <v>1747</v>
      </c>
      <c r="K208" s="14" t="s">
        <v>982</v>
      </c>
      <c r="L208" s="2" t="s">
        <v>1659</v>
      </c>
      <c r="M208" s="2" t="s">
        <v>1672</v>
      </c>
      <c r="O208" s="2" t="s">
        <v>1748</v>
      </c>
      <c r="P208" s="2" t="s">
        <v>1749</v>
      </c>
      <c r="Q208" s="2" t="s">
        <v>352</v>
      </c>
      <c r="R208" s="2" t="s">
        <v>1750</v>
      </c>
      <c r="S208" s="2" t="s">
        <v>1751</v>
      </c>
      <c r="T208" s="10" t="s">
        <v>1062</v>
      </c>
      <c r="U208" s="2" t="s">
        <v>1752</v>
      </c>
      <c r="V208" s="2" t="s">
        <v>1753</v>
      </c>
      <c r="W208" s="2" t="s">
        <v>1754</v>
      </c>
      <c r="X208" s="2" t="s">
        <v>62</v>
      </c>
      <c r="Y208" s="2" t="s">
        <v>98</v>
      </c>
      <c r="Z208" s="10" t="s">
        <v>1755</v>
      </c>
      <c r="AA208" s="2" t="s">
        <v>1756</v>
      </c>
      <c r="AB208" s="10" t="s">
        <v>364</v>
      </c>
      <c r="AC208" s="10" t="s">
        <v>364</v>
      </c>
      <c r="AD208" s="10" t="s">
        <v>364</v>
      </c>
      <c r="AE208" s="10" t="s">
        <v>364</v>
      </c>
    </row>
    <row r="209" spans="1:31">
      <c r="A209" s="1">
        <v>207</v>
      </c>
      <c r="B209" s="5" t="s">
        <v>1222</v>
      </c>
      <c r="F209" s="2" t="s">
        <v>1223</v>
      </c>
      <c r="H209" s="2" t="s">
        <v>76</v>
      </c>
      <c r="I209" s="2" t="s">
        <v>51</v>
      </c>
      <c r="J209" s="2" t="s">
        <v>2815</v>
      </c>
      <c r="K209" s="14" t="s">
        <v>982</v>
      </c>
      <c r="L209" s="2" t="s">
        <v>1209</v>
      </c>
      <c r="M209" s="2" t="s">
        <v>2816</v>
      </c>
      <c r="N209" s="3">
        <v>43474</v>
      </c>
      <c r="O209" s="2" t="s">
        <v>167</v>
      </c>
      <c r="P209" s="2" t="s">
        <v>168</v>
      </c>
      <c r="Q209" s="2" t="s">
        <v>352</v>
      </c>
      <c r="R209" s="2" t="s">
        <v>169</v>
      </c>
      <c r="S209" s="2" t="s">
        <v>170</v>
      </c>
      <c r="T209" s="10" t="s">
        <v>1062</v>
      </c>
      <c r="U209" s="2" t="s">
        <v>171</v>
      </c>
      <c r="V209" s="2" t="s">
        <v>172</v>
      </c>
      <c r="X209" s="2" t="s">
        <v>62</v>
      </c>
      <c r="Y209" s="2" t="s">
        <v>98</v>
      </c>
      <c r="Z209" s="10" t="s">
        <v>88</v>
      </c>
      <c r="AA209" s="2" t="s">
        <v>173</v>
      </c>
      <c r="AB209" s="10" t="s">
        <v>364</v>
      </c>
      <c r="AC209" s="10" t="s">
        <v>364</v>
      </c>
      <c r="AD209" s="10" t="s">
        <v>364</v>
      </c>
      <c r="AE209" s="10" t="s">
        <v>364</v>
      </c>
    </row>
    <row r="210" spans="1:31">
      <c r="A210" s="1">
        <v>208</v>
      </c>
      <c r="B210" s="5" t="s">
        <v>1757</v>
      </c>
      <c r="F210" s="2" t="s">
        <v>1223</v>
      </c>
      <c r="H210" s="2" t="s">
        <v>76</v>
      </c>
      <c r="I210" s="2" t="s">
        <v>51</v>
      </c>
      <c r="J210" s="2" t="s">
        <v>2817</v>
      </c>
      <c r="K210" s="14" t="s">
        <v>982</v>
      </c>
      <c r="L210" s="2" t="s">
        <v>1659</v>
      </c>
      <c r="M210" s="2" t="s">
        <v>2818</v>
      </c>
      <c r="N210" s="3">
        <v>43474</v>
      </c>
      <c r="O210" s="2" t="s">
        <v>1760</v>
      </c>
      <c r="P210" s="2" t="s">
        <v>1761</v>
      </c>
      <c r="Q210" s="2" t="s">
        <v>352</v>
      </c>
      <c r="R210" s="2" t="s">
        <v>169</v>
      </c>
      <c r="S210" s="2" t="s">
        <v>1762</v>
      </c>
      <c r="T210" s="10" t="s">
        <v>1062</v>
      </c>
      <c r="U210" s="2" t="s">
        <v>171</v>
      </c>
      <c r="V210" s="2" t="s">
        <v>172</v>
      </c>
      <c r="X210" s="2" t="s">
        <v>62</v>
      </c>
      <c r="Y210" s="2" t="s">
        <v>98</v>
      </c>
      <c r="Z210" s="10" t="s">
        <v>205</v>
      </c>
      <c r="AA210" s="2" t="s">
        <v>1763</v>
      </c>
      <c r="AB210" s="10" t="s">
        <v>364</v>
      </c>
      <c r="AC210" s="10" t="s">
        <v>364</v>
      </c>
      <c r="AD210" s="10" t="s">
        <v>364</v>
      </c>
      <c r="AE210" s="10" t="s">
        <v>364</v>
      </c>
    </row>
    <row r="211" spans="1:31">
      <c r="A211" s="1">
        <v>209</v>
      </c>
      <c r="B211" s="5" t="s">
        <v>2043</v>
      </c>
      <c r="F211" s="2" t="s">
        <v>2044</v>
      </c>
      <c r="H211" s="2" t="s">
        <v>76</v>
      </c>
      <c r="I211" s="2" t="s">
        <v>51</v>
      </c>
      <c r="J211" s="2" t="s">
        <v>35</v>
      </c>
      <c r="K211" s="14" t="s">
        <v>982</v>
      </c>
      <c r="L211" s="2" t="s">
        <v>35</v>
      </c>
      <c r="M211" s="2" t="s">
        <v>984</v>
      </c>
      <c r="N211" s="3" t="s">
        <v>1832</v>
      </c>
      <c r="O211" s="2" t="s">
        <v>2046</v>
      </c>
      <c r="P211" s="2" t="s">
        <v>176</v>
      </c>
      <c r="Q211" s="2" t="s">
        <v>94</v>
      </c>
      <c r="R211" s="2" t="s">
        <v>2047</v>
      </c>
    </row>
    <row r="212" spans="1:31">
      <c r="A212" s="1">
        <v>210</v>
      </c>
      <c r="B212" s="5" t="s">
        <v>2195</v>
      </c>
      <c r="F212" s="2" t="s">
        <v>2196</v>
      </c>
      <c r="H212" s="2" t="s">
        <v>76</v>
      </c>
      <c r="I212" s="2" t="s">
        <v>32</v>
      </c>
      <c r="J212" s="2" t="s">
        <v>2197</v>
      </c>
      <c r="K212" s="14" t="s">
        <v>136</v>
      </c>
      <c r="L212" s="2" t="s">
        <v>53</v>
      </c>
      <c r="M212" s="2" t="s">
        <v>2165</v>
      </c>
      <c r="N212" s="3">
        <v>43517</v>
      </c>
      <c r="O212" s="2" t="s">
        <v>2198</v>
      </c>
      <c r="P212" s="2" t="s">
        <v>2199</v>
      </c>
      <c r="Q212" s="2" t="s">
        <v>38</v>
      </c>
      <c r="R212" s="2" t="s">
        <v>103</v>
      </c>
      <c r="S212" s="2" t="s">
        <v>2200</v>
      </c>
      <c r="T212" s="10" t="s">
        <v>1062</v>
      </c>
      <c r="U212" s="2" t="s">
        <v>171</v>
      </c>
      <c r="V212" s="2" t="s">
        <v>172</v>
      </c>
      <c r="W212" s="10" t="s">
        <v>1221</v>
      </c>
      <c r="X212" s="2" t="s">
        <v>62</v>
      </c>
      <c r="Y212" s="2" t="s">
        <v>45</v>
      </c>
      <c r="Z212" s="10" t="s">
        <v>88</v>
      </c>
      <c r="AA212" s="2" t="s">
        <v>2201</v>
      </c>
      <c r="AB212" s="2" t="s">
        <v>364</v>
      </c>
      <c r="AC212" s="2" t="s">
        <v>364</v>
      </c>
      <c r="AD212" s="2" t="s">
        <v>364</v>
      </c>
      <c r="AE212" s="2" t="s">
        <v>364</v>
      </c>
    </row>
    <row r="213" spans="1:31">
      <c r="A213" s="1">
        <v>211</v>
      </c>
      <c r="B213" s="5" t="s">
        <v>2221</v>
      </c>
      <c r="F213" s="2" t="s">
        <v>2222</v>
      </c>
      <c r="H213" s="2" t="s">
        <v>76</v>
      </c>
      <c r="I213" s="2" t="s">
        <v>32</v>
      </c>
      <c r="J213" s="2" t="s">
        <v>2819</v>
      </c>
      <c r="K213" s="14" t="s">
        <v>136</v>
      </c>
      <c r="L213" s="2" t="s">
        <v>53</v>
      </c>
      <c r="M213" s="2" t="s">
        <v>2165</v>
      </c>
      <c r="N213" s="3">
        <v>43517</v>
      </c>
      <c r="O213" s="2" t="s">
        <v>182</v>
      </c>
      <c r="P213" s="2" t="s">
        <v>2223</v>
      </c>
      <c r="Q213" s="2" t="s">
        <v>38</v>
      </c>
      <c r="R213" s="2" t="s">
        <v>103</v>
      </c>
      <c r="S213" s="2" t="s">
        <v>184</v>
      </c>
      <c r="T213" s="10" t="s">
        <v>1062</v>
      </c>
      <c r="U213" s="2" t="s">
        <v>171</v>
      </c>
      <c r="V213" s="2" t="s">
        <v>172</v>
      </c>
      <c r="W213" s="10" t="s">
        <v>1221</v>
      </c>
      <c r="X213" s="2" t="s">
        <v>62</v>
      </c>
      <c r="Y213" s="2" t="s">
        <v>45</v>
      </c>
      <c r="Z213" s="10" t="s">
        <v>88</v>
      </c>
      <c r="AA213" s="2" t="s">
        <v>185</v>
      </c>
      <c r="AB213" s="2" t="s">
        <v>48</v>
      </c>
      <c r="AC213" s="2" t="s">
        <v>364</v>
      </c>
      <c r="AD213" s="2" t="s">
        <v>364</v>
      </c>
      <c r="AE213" s="2" t="s">
        <v>364</v>
      </c>
    </row>
    <row r="214" spans="1:31">
      <c r="A214" s="1">
        <v>212</v>
      </c>
      <c r="B214" s="5" t="s">
        <v>2202</v>
      </c>
      <c r="F214" s="2" t="s">
        <v>2203</v>
      </c>
      <c r="H214" s="2" t="s">
        <v>76</v>
      </c>
      <c r="I214" s="2" t="s">
        <v>32</v>
      </c>
      <c r="J214" s="2" t="s">
        <v>2820</v>
      </c>
      <c r="K214" s="14" t="s">
        <v>136</v>
      </c>
      <c r="L214" s="2" t="s">
        <v>53</v>
      </c>
      <c r="M214" s="2" t="s">
        <v>2165</v>
      </c>
      <c r="N214" s="3">
        <v>43517</v>
      </c>
      <c r="O214" s="2" t="s">
        <v>187</v>
      </c>
      <c r="P214" s="2" t="s">
        <v>2205</v>
      </c>
      <c r="Q214" s="2" t="s">
        <v>38</v>
      </c>
      <c r="R214" s="2" t="s">
        <v>103</v>
      </c>
      <c r="S214" s="2" t="s">
        <v>189</v>
      </c>
      <c r="T214" s="10" t="s">
        <v>1062</v>
      </c>
      <c r="U214" s="2" t="s">
        <v>171</v>
      </c>
      <c r="V214" s="2" t="s">
        <v>172</v>
      </c>
      <c r="W214" s="10" t="s">
        <v>1221</v>
      </c>
      <c r="X214" s="2" t="s">
        <v>62</v>
      </c>
      <c r="Y214" s="2" t="s">
        <v>45</v>
      </c>
      <c r="Z214" s="10" t="s">
        <v>88</v>
      </c>
      <c r="AA214" s="2" t="s">
        <v>190</v>
      </c>
      <c r="AB214" s="2" t="s">
        <v>48</v>
      </c>
      <c r="AC214" s="2" t="s">
        <v>364</v>
      </c>
      <c r="AD214" s="2" t="s">
        <v>364</v>
      </c>
      <c r="AE214" s="2" t="s">
        <v>364</v>
      </c>
    </row>
    <row r="215" spans="1:31">
      <c r="A215" s="1">
        <v>213</v>
      </c>
      <c r="B215" s="5" t="s">
        <v>2206</v>
      </c>
      <c r="F215" s="2" t="s">
        <v>2207</v>
      </c>
      <c r="H215" s="2" t="s">
        <v>76</v>
      </c>
      <c r="I215" s="2" t="s">
        <v>32</v>
      </c>
      <c r="J215" s="2" t="s">
        <v>2208</v>
      </c>
      <c r="K215" s="14" t="s">
        <v>136</v>
      </c>
      <c r="L215" s="2" t="s">
        <v>53</v>
      </c>
      <c r="M215" s="2" t="s">
        <v>2165</v>
      </c>
      <c r="N215" s="3">
        <v>43542</v>
      </c>
      <c r="O215" s="2" t="s">
        <v>192</v>
      </c>
      <c r="P215" s="2" t="s">
        <v>193</v>
      </c>
      <c r="Q215" s="2" t="s">
        <v>38</v>
      </c>
      <c r="R215" s="2" t="s">
        <v>194</v>
      </c>
      <c r="S215" s="126" t="s">
        <v>195</v>
      </c>
      <c r="T215" s="10" t="s">
        <v>1062</v>
      </c>
      <c r="U215" s="2" t="s">
        <v>196</v>
      </c>
      <c r="V215" s="2" t="s">
        <v>172</v>
      </c>
      <c r="W215" s="10" t="s">
        <v>1221</v>
      </c>
      <c r="X215" s="2" t="s">
        <v>86</v>
      </c>
      <c r="Y215" s="2" t="s">
        <v>45</v>
      </c>
      <c r="Z215" s="10" t="s">
        <v>88</v>
      </c>
      <c r="AA215" s="126" t="s">
        <v>197</v>
      </c>
      <c r="AB215" s="2" t="s">
        <v>48</v>
      </c>
      <c r="AC215" s="2" t="s">
        <v>364</v>
      </c>
      <c r="AD215" s="2" t="s">
        <v>364</v>
      </c>
      <c r="AE215" s="2" t="s">
        <v>364</v>
      </c>
    </row>
    <row r="217" spans="1:31" ht="12.6" customHeight="1">
      <c r="F217" s="41" t="s">
        <v>770</v>
      </c>
      <c r="G217" s="41">
        <f>COUNTIF(H2:H210, "USE")</f>
        <v>141</v>
      </c>
    </row>
    <row r="218" spans="1:31">
      <c r="F218" s="42" t="s">
        <v>772</v>
      </c>
      <c r="G218" s="42">
        <f>COUNTIF(H2:H210, "KEEP")</f>
        <v>18</v>
      </c>
    </row>
    <row r="219" spans="1:31">
      <c r="F219" s="43" t="s">
        <v>2821</v>
      </c>
      <c r="G219" s="43">
        <f>COUNTIF(H2:H210, "DISPOSED")</f>
        <v>31</v>
      </c>
    </row>
    <row r="220" spans="1:31">
      <c r="F220" s="127" t="s">
        <v>2822</v>
      </c>
      <c r="G220" s="127">
        <f>COUNTIF(G2:G208, "x found")</f>
        <v>18</v>
      </c>
    </row>
    <row r="222" spans="1:31">
      <c r="F222" t="s">
        <v>2823</v>
      </c>
      <c r="G222">
        <f>SUM(G217:G221)</f>
        <v>208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topLeftCell="A4" workbookViewId="0">
      <selection activeCell="E2" sqref="E2:E25"/>
    </sheetView>
  </sheetViews>
  <sheetFormatPr defaultColWidth="8.85546875" defaultRowHeight="15"/>
  <cols>
    <col min="1" max="1" width="42" customWidth="1"/>
  </cols>
  <sheetData>
    <row r="1" spans="1:5" ht="15.75">
      <c r="A1" s="56" t="s">
        <v>2824</v>
      </c>
      <c r="B1" s="39" t="s">
        <v>2391</v>
      </c>
      <c r="D1" s="48" t="s">
        <v>10</v>
      </c>
      <c r="E1" s="51" t="s">
        <v>2377</v>
      </c>
    </row>
    <row r="2" spans="1:5" ht="15.75">
      <c r="A2" s="56" t="s">
        <v>2825</v>
      </c>
      <c r="B2" s="40" t="s">
        <v>2417</v>
      </c>
      <c r="D2" s="52" t="s">
        <v>2826</v>
      </c>
      <c r="E2" s="49">
        <v>11</v>
      </c>
    </row>
    <row r="3" spans="1:5" ht="15.75">
      <c r="A3" s="56" t="s">
        <v>2827</v>
      </c>
      <c r="B3" s="47" t="s">
        <v>2828</v>
      </c>
      <c r="D3" s="52" t="s">
        <v>1080</v>
      </c>
      <c r="E3" s="49">
        <v>8</v>
      </c>
    </row>
    <row r="4" spans="1:5" ht="15.75">
      <c r="A4" s="56" t="s">
        <v>2829</v>
      </c>
      <c r="B4" s="39" t="s">
        <v>2438</v>
      </c>
      <c r="D4" s="52" t="s">
        <v>2830</v>
      </c>
      <c r="E4" s="49">
        <v>4</v>
      </c>
    </row>
    <row r="5" spans="1:5" ht="15.75">
      <c r="A5" s="56" t="s">
        <v>2831</v>
      </c>
      <c r="B5" s="39" t="s">
        <v>2454</v>
      </c>
      <c r="D5" s="52" t="s">
        <v>1170</v>
      </c>
      <c r="E5" s="49">
        <v>1</v>
      </c>
    </row>
    <row r="6" spans="1:5" ht="15.75">
      <c r="A6" s="56" t="s">
        <v>2832</v>
      </c>
      <c r="B6" s="39" t="s">
        <v>2468</v>
      </c>
      <c r="D6" s="52" t="s">
        <v>73</v>
      </c>
      <c r="E6" s="49">
        <v>3</v>
      </c>
    </row>
    <row r="7" spans="1:5" ht="15.75">
      <c r="A7" s="56" t="s">
        <v>2833</v>
      </c>
      <c r="B7" s="39" t="s">
        <v>2472</v>
      </c>
      <c r="D7" s="52" t="s">
        <v>2799</v>
      </c>
      <c r="E7" s="49">
        <v>4</v>
      </c>
    </row>
    <row r="8" spans="1:5" ht="15.75">
      <c r="A8" s="56" t="s">
        <v>2834</v>
      </c>
      <c r="B8" s="39" t="s">
        <v>2495</v>
      </c>
      <c r="D8" s="52" t="s">
        <v>1209</v>
      </c>
      <c r="E8" s="49">
        <v>2</v>
      </c>
    </row>
    <row r="9" spans="1:5" ht="15.75">
      <c r="A9" s="56" t="s">
        <v>2835</v>
      </c>
      <c r="B9" s="39" t="s">
        <v>2510</v>
      </c>
      <c r="D9" s="52" t="s">
        <v>1230</v>
      </c>
      <c r="E9" s="49">
        <v>6</v>
      </c>
    </row>
    <row r="10" spans="1:5" ht="15.75">
      <c r="A10" s="56" t="s">
        <v>2836</v>
      </c>
      <c r="B10" s="39" t="s">
        <v>2535</v>
      </c>
      <c r="D10" s="52" t="s">
        <v>35</v>
      </c>
      <c r="E10" s="49">
        <v>5</v>
      </c>
    </row>
    <row r="11" spans="1:5" ht="15.75">
      <c r="A11" s="56" t="s">
        <v>2837</v>
      </c>
      <c r="B11" s="39" t="s">
        <v>2540</v>
      </c>
      <c r="D11" s="52" t="s">
        <v>2838</v>
      </c>
      <c r="E11" s="49">
        <v>6</v>
      </c>
    </row>
    <row r="12" spans="1:5" ht="15.75">
      <c r="A12" s="56" t="s">
        <v>2839</v>
      </c>
      <c r="B12" s="39" t="s">
        <v>2545</v>
      </c>
      <c r="D12" s="52" t="s">
        <v>2840</v>
      </c>
      <c r="E12" s="49">
        <v>6</v>
      </c>
    </row>
    <row r="13" spans="1:5" ht="15.75">
      <c r="A13" s="56" t="s">
        <v>2841</v>
      </c>
      <c r="B13" s="39" t="s">
        <v>2551</v>
      </c>
      <c r="D13" s="52" t="s">
        <v>675</v>
      </c>
      <c r="E13" s="49">
        <v>4</v>
      </c>
    </row>
    <row r="14" spans="1:5" ht="15.75">
      <c r="A14" s="57" t="s">
        <v>2842</v>
      </c>
      <c r="B14" s="39" t="s">
        <v>2567</v>
      </c>
      <c r="D14" s="52" t="s">
        <v>2843</v>
      </c>
      <c r="E14" s="49">
        <v>5</v>
      </c>
    </row>
    <row r="15" spans="1:5" ht="15.75">
      <c r="A15" s="56" t="s">
        <v>2844</v>
      </c>
      <c r="B15" s="39" t="s">
        <v>2576</v>
      </c>
      <c r="D15" s="52" t="s">
        <v>2845</v>
      </c>
      <c r="E15" s="49">
        <v>11</v>
      </c>
    </row>
    <row r="16" spans="1:5" ht="15.75">
      <c r="A16" s="56" t="s">
        <v>2846</v>
      </c>
      <c r="B16" s="39" t="s">
        <v>2588</v>
      </c>
      <c r="D16" s="52" t="s">
        <v>2847</v>
      </c>
      <c r="E16" s="49">
        <v>3</v>
      </c>
    </row>
    <row r="17" spans="1:5" ht="15.75">
      <c r="A17" s="56" t="s">
        <v>2848</v>
      </c>
      <c r="B17" s="39" t="s">
        <v>2594</v>
      </c>
      <c r="D17" s="52" t="s">
        <v>2849</v>
      </c>
      <c r="E17" s="49">
        <v>3</v>
      </c>
    </row>
    <row r="18" spans="1:5" ht="15.75">
      <c r="A18" s="56" t="s">
        <v>2850</v>
      </c>
      <c r="B18" s="39" t="s">
        <v>2612</v>
      </c>
      <c r="D18" s="52" t="s">
        <v>79</v>
      </c>
      <c r="E18" s="49">
        <v>23</v>
      </c>
    </row>
    <row r="19" spans="1:5" ht="15.75">
      <c r="A19" s="56" t="s">
        <v>2851</v>
      </c>
      <c r="B19" s="39" t="s">
        <v>2619</v>
      </c>
      <c r="D19" s="52" t="s">
        <v>118</v>
      </c>
      <c r="E19" s="49">
        <v>3</v>
      </c>
    </row>
    <row r="20" spans="1:5" ht="15.75">
      <c r="A20" s="56" t="s">
        <v>2852</v>
      </c>
      <c r="B20" s="39" t="s">
        <v>2631</v>
      </c>
      <c r="D20" s="52" t="s">
        <v>2038</v>
      </c>
      <c r="E20" s="49">
        <v>1</v>
      </c>
    </row>
    <row r="21" spans="1:5" ht="15.75">
      <c r="A21" s="56" t="s">
        <v>2853</v>
      </c>
      <c r="B21" s="39" t="s">
        <v>2637</v>
      </c>
      <c r="D21" s="52" t="s">
        <v>53</v>
      </c>
      <c r="E21" s="49">
        <v>22</v>
      </c>
    </row>
    <row r="22" spans="1:5" ht="15.75">
      <c r="A22" s="56" t="s">
        <v>2854</v>
      </c>
      <c r="B22" s="39" t="s">
        <v>2643</v>
      </c>
      <c r="D22" s="52" t="s">
        <v>2855</v>
      </c>
      <c r="E22" s="49">
        <v>6</v>
      </c>
    </row>
    <row r="23" spans="1:5" ht="15.75">
      <c r="A23" s="56" t="s">
        <v>2856</v>
      </c>
      <c r="B23" s="39" t="s">
        <v>2655</v>
      </c>
      <c r="D23" s="52" t="s">
        <v>181</v>
      </c>
      <c r="E23" s="49">
        <v>10</v>
      </c>
    </row>
    <row r="24" spans="1:5" ht="15.75">
      <c r="A24" s="56" t="s">
        <v>2857</v>
      </c>
      <c r="B24" s="39" t="s">
        <v>2649</v>
      </c>
      <c r="D24" s="52" t="s">
        <v>2858</v>
      </c>
      <c r="E24" s="49">
        <v>18</v>
      </c>
    </row>
    <row r="25" spans="1:5" ht="16.5" thickBot="1">
      <c r="A25" s="56" t="s">
        <v>2859</v>
      </c>
      <c r="B25" s="39" t="s">
        <v>2661</v>
      </c>
      <c r="D25" s="53" t="s">
        <v>2860</v>
      </c>
      <c r="E25" s="50">
        <v>19</v>
      </c>
    </row>
    <row r="26" spans="1:5" ht="16.5" thickTop="1">
      <c r="A26" s="56" t="s">
        <v>2861</v>
      </c>
      <c r="B26" s="39" t="s">
        <v>2666</v>
      </c>
      <c r="D26" s="54" t="s">
        <v>2862</v>
      </c>
      <c r="E26" s="55">
        <f>SUM(E2:E25)</f>
        <v>184</v>
      </c>
    </row>
    <row r="27" spans="1:5" ht="15.75">
      <c r="A27" s="56" t="s">
        <v>2863</v>
      </c>
      <c r="B27" s="39" t="s">
        <v>2671</v>
      </c>
    </row>
    <row r="28" spans="1:5" ht="15.75">
      <c r="A28" s="56" t="s">
        <v>2864</v>
      </c>
      <c r="B28" s="39" t="s">
        <v>2676</v>
      </c>
    </row>
    <row r="29" spans="1:5" ht="15.75">
      <c r="A29" s="56" t="s">
        <v>2865</v>
      </c>
      <c r="B29" s="39" t="s">
        <v>2687</v>
      </c>
    </row>
    <row r="30" spans="1:5" ht="15.75">
      <c r="A30" s="56" t="s">
        <v>2866</v>
      </c>
      <c r="B30" s="39" t="s">
        <v>2710</v>
      </c>
    </row>
    <row r="31" spans="1:5" ht="15.75">
      <c r="A31" s="56" t="s">
        <v>2867</v>
      </c>
      <c r="B31" s="39" t="s">
        <v>2718</v>
      </c>
    </row>
    <row r="32" spans="1:5">
      <c r="B32" s="39" t="s">
        <v>2724</v>
      </c>
    </row>
    <row r="33" spans="2:2">
      <c r="B33" s="39" t="s">
        <v>2730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>
    <pageSetUpPr fitToPage="1"/>
  </sheetPr>
  <dimension ref="A1:K29"/>
  <sheetViews>
    <sheetView workbookViewId="0">
      <selection activeCell="J11" sqref="J11"/>
    </sheetView>
  </sheetViews>
  <sheetFormatPr defaultColWidth="8.85546875" defaultRowHeight="15"/>
  <cols>
    <col min="2" max="2" width="15" customWidth="1"/>
    <col min="3" max="3" width="12.28515625" customWidth="1"/>
    <col min="5" max="5" width="10.140625" customWidth="1"/>
    <col min="6" max="6" width="15" customWidth="1"/>
    <col min="7" max="7" width="9.28515625" customWidth="1"/>
    <col min="8" max="8" width="13.42578125" customWidth="1"/>
    <col min="9" max="9" width="14.85546875" customWidth="1"/>
    <col min="10" max="10" width="17.42578125" customWidth="1"/>
    <col min="11" max="11" width="16.140625" customWidth="1"/>
  </cols>
  <sheetData>
    <row r="1" spans="1:11">
      <c r="A1" s="44" t="s">
        <v>2868</v>
      </c>
    </row>
    <row r="3" spans="1:11">
      <c r="A3" s="17" t="s">
        <v>968</v>
      </c>
      <c r="B3" s="17" t="s">
        <v>790</v>
      </c>
      <c r="C3" s="18" t="s">
        <v>2</v>
      </c>
      <c r="D3" s="18" t="s">
        <v>3</v>
      </c>
      <c r="E3" s="18" t="s">
        <v>5</v>
      </c>
      <c r="F3" s="18" t="s">
        <v>2390</v>
      </c>
      <c r="G3" s="19" t="s">
        <v>9</v>
      </c>
      <c r="H3" s="18" t="s">
        <v>10</v>
      </c>
      <c r="I3" s="18" t="s">
        <v>972</v>
      </c>
      <c r="J3" s="18" t="s">
        <v>973</v>
      </c>
      <c r="K3" s="18" t="s">
        <v>14</v>
      </c>
    </row>
    <row r="4" spans="1:11">
      <c r="A4" s="6">
        <v>6</v>
      </c>
      <c r="B4" s="6" t="s">
        <v>1802</v>
      </c>
      <c r="C4" s="9" t="s">
        <v>1228</v>
      </c>
      <c r="D4" s="9"/>
      <c r="E4" s="9" t="s">
        <v>51</v>
      </c>
      <c r="F4" s="10" t="s">
        <v>2409</v>
      </c>
      <c r="G4" s="15" t="s">
        <v>982</v>
      </c>
      <c r="H4" s="9" t="s">
        <v>79</v>
      </c>
      <c r="I4" s="9" t="s">
        <v>1804</v>
      </c>
      <c r="J4" s="9" t="s">
        <v>1805</v>
      </c>
      <c r="K4" s="21" t="s">
        <v>1806</v>
      </c>
    </row>
    <row r="5" spans="1:11">
      <c r="A5" s="6">
        <v>15</v>
      </c>
      <c r="B5" s="6" t="s">
        <v>1995</v>
      </c>
      <c r="C5" s="9" t="s">
        <v>1996</v>
      </c>
      <c r="D5" s="9" t="s">
        <v>76</v>
      </c>
      <c r="E5" s="9" t="s">
        <v>51</v>
      </c>
      <c r="F5" s="10" t="s">
        <v>79</v>
      </c>
      <c r="G5" s="15" t="s">
        <v>34</v>
      </c>
      <c r="H5" s="9" t="s">
        <v>79</v>
      </c>
      <c r="I5" s="9" t="s">
        <v>1836</v>
      </c>
      <c r="J5" s="9" t="s">
        <v>1998</v>
      </c>
      <c r="K5" s="9" t="s">
        <v>1999</v>
      </c>
    </row>
    <row r="6" spans="1:11">
      <c r="A6" s="6">
        <v>43</v>
      </c>
      <c r="B6" s="6" t="s">
        <v>1864</v>
      </c>
      <c r="C6" s="9" t="s">
        <v>1865</v>
      </c>
      <c r="D6" s="9" t="s">
        <v>76</v>
      </c>
      <c r="E6" s="9" t="s">
        <v>51</v>
      </c>
      <c r="F6" s="10" t="s">
        <v>1281</v>
      </c>
      <c r="G6" s="15" t="s">
        <v>34</v>
      </c>
      <c r="H6" s="9" t="s">
        <v>79</v>
      </c>
      <c r="I6" s="9" t="s">
        <v>1836</v>
      </c>
      <c r="J6" s="9" t="s">
        <v>1868</v>
      </c>
      <c r="K6" s="10" t="s">
        <v>1869</v>
      </c>
    </row>
    <row r="7" spans="1:11">
      <c r="A7" s="6">
        <v>92</v>
      </c>
      <c r="B7" s="6" t="s">
        <v>1154</v>
      </c>
      <c r="C7" s="9" t="s">
        <v>1155</v>
      </c>
      <c r="D7" s="9" t="s">
        <v>76</v>
      </c>
      <c r="E7" s="9" t="s">
        <v>51</v>
      </c>
      <c r="F7" s="10" t="s">
        <v>2709</v>
      </c>
      <c r="G7" s="15" t="s">
        <v>34</v>
      </c>
      <c r="H7" s="9" t="s">
        <v>1836</v>
      </c>
      <c r="I7" s="9" t="s">
        <v>1836</v>
      </c>
      <c r="J7" s="9"/>
      <c r="K7" s="9"/>
    </row>
    <row r="8" spans="1:11">
      <c r="A8" s="6">
        <v>108</v>
      </c>
      <c r="B8" s="6" t="s">
        <v>1920</v>
      </c>
      <c r="C8" s="9" t="s">
        <v>1732</v>
      </c>
      <c r="D8" s="9" t="s">
        <v>76</v>
      </c>
      <c r="E8" s="9" t="s">
        <v>51</v>
      </c>
      <c r="F8" s="10" t="s">
        <v>2869</v>
      </c>
      <c r="G8" s="15" t="s">
        <v>34</v>
      </c>
      <c r="H8" s="9" t="s">
        <v>79</v>
      </c>
      <c r="I8" s="9" t="s">
        <v>1836</v>
      </c>
      <c r="J8" s="9" t="s">
        <v>2870</v>
      </c>
      <c r="K8" s="10" t="s">
        <v>1924</v>
      </c>
    </row>
    <row r="9" spans="1:11">
      <c r="A9" s="6">
        <v>117</v>
      </c>
      <c r="B9" s="6" t="s">
        <v>1938</v>
      </c>
      <c r="C9" s="9" t="s">
        <v>1939</v>
      </c>
      <c r="D9" s="9" t="s">
        <v>76</v>
      </c>
      <c r="E9" s="9" t="s">
        <v>51</v>
      </c>
      <c r="F9" s="10" t="s">
        <v>2871</v>
      </c>
      <c r="G9" s="15" t="s">
        <v>34</v>
      </c>
      <c r="H9" s="9" t="s">
        <v>79</v>
      </c>
      <c r="I9" s="9" t="s">
        <v>1836</v>
      </c>
      <c r="J9" s="9" t="s">
        <v>1941</v>
      </c>
      <c r="K9" s="10" t="s">
        <v>1942</v>
      </c>
    </row>
    <row r="10" spans="1:11">
      <c r="A10" s="6">
        <v>134</v>
      </c>
      <c r="B10" s="6" t="s">
        <v>1947</v>
      </c>
      <c r="C10" s="9" t="s">
        <v>1948</v>
      </c>
      <c r="D10" s="9" t="s">
        <v>76</v>
      </c>
      <c r="E10" s="9" t="s">
        <v>51</v>
      </c>
      <c r="F10" s="10" t="s">
        <v>2872</v>
      </c>
      <c r="G10" s="15" t="s">
        <v>34</v>
      </c>
      <c r="H10" s="9" t="s">
        <v>79</v>
      </c>
      <c r="I10" s="9" t="s">
        <v>1836</v>
      </c>
      <c r="J10" s="9" t="s">
        <v>2873</v>
      </c>
      <c r="K10" s="10" t="s">
        <v>1951</v>
      </c>
    </row>
    <row r="11" spans="1:11">
      <c r="A11" s="6">
        <v>135</v>
      </c>
      <c r="B11" s="6" t="s">
        <v>1491</v>
      </c>
      <c r="C11" s="9" t="s">
        <v>1492</v>
      </c>
      <c r="D11" s="9" t="s">
        <v>76</v>
      </c>
      <c r="E11" s="9" t="s">
        <v>51</v>
      </c>
      <c r="F11" s="10" t="s">
        <v>2874</v>
      </c>
      <c r="G11" s="15" t="s">
        <v>34</v>
      </c>
      <c r="H11" s="9" t="s">
        <v>79</v>
      </c>
      <c r="I11" s="9" t="s">
        <v>1836</v>
      </c>
      <c r="J11" s="9"/>
      <c r="K11" s="9"/>
    </row>
    <row r="12" spans="1:11">
      <c r="A12" s="6">
        <v>162</v>
      </c>
      <c r="B12" s="6" t="s">
        <v>1960</v>
      </c>
      <c r="C12" s="9" t="s">
        <v>1961</v>
      </c>
      <c r="D12" s="9" t="s">
        <v>76</v>
      </c>
      <c r="E12" s="9" t="s">
        <v>51</v>
      </c>
      <c r="F12" s="10" t="s">
        <v>2790</v>
      </c>
      <c r="G12" s="15" t="s">
        <v>34</v>
      </c>
      <c r="H12" s="9" t="s">
        <v>79</v>
      </c>
      <c r="I12" s="9" t="s">
        <v>1836</v>
      </c>
      <c r="J12" s="9" t="s">
        <v>1963</v>
      </c>
      <c r="K12" s="10" t="s">
        <v>1964</v>
      </c>
    </row>
    <row r="13" spans="1:11">
      <c r="A13" s="6">
        <v>166</v>
      </c>
      <c r="B13" s="6" t="s">
        <v>1974</v>
      </c>
      <c r="C13" s="9" t="s">
        <v>1975</v>
      </c>
      <c r="D13" s="9" t="s">
        <v>76</v>
      </c>
      <c r="E13" s="9" t="s">
        <v>51</v>
      </c>
      <c r="F13" s="10" t="s">
        <v>2494</v>
      </c>
      <c r="G13" s="15" t="s">
        <v>34</v>
      </c>
      <c r="H13" s="9" t="s">
        <v>79</v>
      </c>
      <c r="I13" s="9" t="s">
        <v>1836</v>
      </c>
      <c r="J13" s="9"/>
      <c r="K13" s="9"/>
    </row>
    <row r="14" spans="1:11">
      <c r="A14" s="6">
        <v>177</v>
      </c>
      <c r="B14" s="6" t="s">
        <v>1982</v>
      </c>
      <c r="C14" s="9" t="s">
        <v>1983</v>
      </c>
      <c r="D14" s="9" t="s">
        <v>76</v>
      </c>
      <c r="E14" s="9" t="s">
        <v>51</v>
      </c>
      <c r="F14" s="10" t="s">
        <v>2875</v>
      </c>
      <c r="G14" s="15" t="s">
        <v>34</v>
      </c>
      <c r="H14" s="9" t="s">
        <v>79</v>
      </c>
      <c r="I14" s="9" t="s">
        <v>1836</v>
      </c>
      <c r="J14" s="9" t="s">
        <v>1985</v>
      </c>
      <c r="K14" s="10" t="s">
        <v>1986</v>
      </c>
    </row>
    <row r="17" spans="1:6">
      <c r="A17" s="45" t="s">
        <v>2876</v>
      </c>
    </row>
    <row r="19" spans="1:6">
      <c r="A19" s="310" t="s">
        <v>2877</v>
      </c>
      <c r="B19" s="310"/>
      <c r="C19" s="310"/>
      <c r="D19" s="310" t="s">
        <v>2878</v>
      </c>
      <c r="E19" s="310"/>
      <c r="F19" t="s">
        <v>2879</v>
      </c>
    </row>
    <row r="20" spans="1:6">
      <c r="A20" s="310" t="s">
        <v>2880</v>
      </c>
      <c r="B20" s="310"/>
      <c r="C20" s="310"/>
      <c r="D20" s="310" t="s">
        <v>2881</v>
      </c>
      <c r="E20" s="310"/>
      <c r="F20" t="s">
        <v>2882</v>
      </c>
    </row>
    <row r="21" spans="1:6">
      <c r="A21" s="310" t="s">
        <v>2883</v>
      </c>
      <c r="B21" s="310"/>
      <c r="C21" s="310"/>
      <c r="D21" s="310" t="s">
        <v>2884</v>
      </c>
      <c r="E21" s="310"/>
      <c r="F21" t="s">
        <v>2885</v>
      </c>
    </row>
    <row r="22" spans="1:6">
      <c r="A22" s="310" t="s">
        <v>2886</v>
      </c>
      <c r="B22" s="310"/>
      <c r="C22" s="310"/>
      <c r="D22" s="310" t="s">
        <v>2887</v>
      </c>
      <c r="E22" s="310"/>
      <c r="F22" t="s">
        <v>2888</v>
      </c>
    </row>
    <row r="23" spans="1:6">
      <c r="A23" s="310" t="s">
        <v>2889</v>
      </c>
      <c r="B23" s="310"/>
      <c r="C23" s="310"/>
      <c r="D23" s="310" t="s">
        <v>2890</v>
      </c>
      <c r="E23" s="310"/>
      <c r="F23" t="s">
        <v>2891</v>
      </c>
    </row>
    <row r="24" spans="1:6">
      <c r="A24" s="310" t="s">
        <v>2892</v>
      </c>
      <c r="B24" s="310"/>
      <c r="C24" s="310"/>
      <c r="D24" s="310" t="s">
        <v>2893</v>
      </c>
      <c r="E24" s="310"/>
      <c r="F24" t="s">
        <v>2894</v>
      </c>
    </row>
    <row r="25" spans="1:6">
      <c r="A25" s="310" t="s">
        <v>2895</v>
      </c>
      <c r="B25" s="310"/>
      <c r="C25" s="310"/>
      <c r="D25" s="310" t="s">
        <v>2896</v>
      </c>
      <c r="E25" s="310"/>
      <c r="F25" t="s">
        <v>2897</v>
      </c>
    </row>
    <row r="26" spans="1:6">
      <c r="A26" s="310" t="s">
        <v>2898</v>
      </c>
      <c r="B26" s="310"/>
      <c r="C26" s="310"/>
      <c r="D26" s="310" t="s">
        <v>2899</v>
      </c>
      <c r="E26" s="310"/>
      <c r="F26" t="s">
        <v>2900</v>
      </c>
    </row>
    <row r="27" spans="1:6">
      <c r="A27" s="310" t="s">
        <v>2901</v>
      </c>
      <c r="B27" s="310"/>
      <c r="C27" s="310"/>
      <c r="D27" s="310" t="s">
        <v>2902</v>
      </c>
      <c r="E27" s="310"/>
      <c r="F27" t="s">
        <v>2903</v>
      </c>
    </row>
    <row r="28" spans="1:6">
      <c r="A28" s="46" t="s">
        <v>2904</v>
      </c>
      <c r="D28" s="310" t="s">
        <v>2905</v>
      </c>
      <c r="E28" s="310"/>
      <c r="F28" t="s">
        <v>2906</v>
      </c>
    </row>
    <row r="29" spans="1:6">
      <c r="A29" s="310" t="s">
        <v>2907</v>
      </c>
      <c r="B29" s="310"/>
      <c r="C29" s="310"/>
      <c r="D29" s="310" t="s">
        <v>2908</v>
      </c>
      <c r="E29" s="310"/>
      <c r="F29" t="s">
        <v>2909</v>
      </c>
    </row>
  </sheetData>
  <mergeCells count="21">
    <mergeCell ref="A19:C19"/>
    <mergeCell ref="A20:C20"/>
    <mergeCell ref="A21:C21"/>
    <mergeCell ref="A22:C22"/>
    <mergeCell ref="A23:C23"/>
    <mergeCell ref="A25:C25"/>
    <mergeCell ref="A26:C26"/>
    <mergeCell ref="A27:C27"/>
    <mergeCell ref="A29:C29"/>
    <mergeCell ref="D19:E19"/>
    <mergeCell ref="D20:E20"/>
    <mergeCell ref="D21:E21"/>
    <mergeCell ref="D22:E22"/>
    <mergeCell ref="D23:E23"/>
    <mergeCell ref="D24:E24"/>
    <mergeCell ref="D26:E26"/>
    <mergeCell ref="D27:E27"/>
    <mergeCell ref="D28:E28"/>
    <mergeCell ref="D29:E29"/>
    <mergeCell ref="D25:E25"/>
    <mergeCell ref="A24:C24"/>
  </mergeCells>
  <pageMargins left="0.7" right="0.7" top="0.75" bottom="0.75" header="0.3" footer="0.3"/>
  <pageSetup paperSize="9" scale="9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B2:F28"/>
  <sheetViews>
    <sheetView topLeftCell="A5" workbookViewId="0">
      <selection activeCell="C30" sqref="C30"/>
    </sheetView>
  </sheetViews>
  <sheetFormatPr defaultColWidth="8.85546875" defaultRowHeight="15"/>
  <cols>
    <col min="2" max="2" width="12.28515625" customWidth="1"/>
    <col min="3" max="3" width="19.140625" bestFit="1" customWidth="1"/>
    <col min="5" max="5" width="27.42578125" bestFit="1" customWidth="1"/>
    <col min="6" max="6" width="33.85546875" bestFit="1" customWidth="1"/>
  </cols>
  <sheetData>
    <row r="2" spans="2:6">
      <c r="B2" s="6" t="s">
        <v>2391</v>
      </c>
      <c r="C2" s="9" t="s">
        <v>2392</v>
      </c>
      <c r="D2" s="12" t="s">
        <v>56</v>
      </c>
      <c r="E2" s="12" t="s">
        <v>1083</v>
      </c>
      <c r="F2" s="9" t="s">
        <v>2394</v>
      </c>
    </row>
    <row r="3" spans="2:6" ht="33.950000000000003" customHeight="1">
      <c r="B3" s="22" t="s">
        <v>2417</v>
      </c>
      <c r="C3" s="23" t="s">
        <v>2418</v>
      </c>
      <c r="D3" s="25" t="s">
        <v>38</v>
      </c>
      <c r="E3" s="25" t="s">
        <v>2419</v>
      </c>
      <c r="F3" s="24" t="s">
        <v>2420</v>
      </c>
    </row>
    <row r="4" spans="2:6" ht="32.1" customHeight="1">
      <c r="B4" s="6" t="s">
        <v>2910</v>
      </c>
      <c r="C4" s="13" t="s">
        <v>2431</v>
      </c>
      <c r="D4" s="12" t="s">
        <v>1453</v>
      </c>
      <c r="E4" s="12" t="s">
        <v>2296</v>
      </c>
      <c r="F4" s="9" t="s">
        <v>2432</v>
      </c>
    </row>
    <row r="5" spans="2:6">
      <c r="B5" s="6" t="s">
        <v>2438</v>
      </c>
      <c r="C5" s="9" t="s">
        <v>2439</v>
      </c>
      <c r="D5" s="12" t="s">
        <v>38</v>
      </c>
      <c r="E5" s="12" t="s">
        <v>1360</v>
      </c>
      <c r="F5" s="9" t="s">
        <v>2440</v>
      </c>
    </row>
    <row r="6" spans="2:6">
      <c r="B6" s="6" t="s">
        <v>2454</v>
      </c>
      <c r="C6" s="9" t="s">
        <v>2455</v>
      </c>
      <c r="D6" s="12" t="s">
        <v>1453</v>
      </c>
      <c r="E6" s="12" t="s">
        <v>2296</v>
      </c>
      <c r="F6" s="9" t="s">
        <v>2456</v>
      </c>
    </row>
    <row r="7" spans="2:6">
      <c r="B7" s="6" t="s">
        <v>2468</v>
      </c>
      <c r="C7" s="9" t="s">
        <v>2469</v>
      </c>
      <c r="D7" s="12" t="s">
        <v>1453</v>
      </c>
      <c r="E7" s="12" t="s">
        <v>2296</v>
      </c>
      <c r="F7" s="9" t="s">
        <v>2451</v>
      </c>
    </row>
    <row r="8" spans="2:6">
      <c r="B8" s="6" t="s">
        <v>2472</v>
      </c>
      <c r="C8" s="9" t="s">
        <v>2473</v>
      </c>
      <c r="D8" s="12" t="s">
        <v>38</v>
      </c>
      <c r="E8" s="12" t="s">
        <v>1360</v>
      </c>
      <c r="F8" s="9" t="s">
        <v>2474</v>
      </c>
    </row>
    <row r="9" spans="2:6">
      <c r="B9" s="6" t="s">
        <v>2495</v>
      </c>
      <c r="C9" s="9" t="s">
        <v>2496</v>
      </c>
      <c r="D9" s="12" t="s">
        <v>38</v>
      </c>
      <c r="E9" s="12" t="s">
        <v>2498</v>
      </c>
      <c r="F9" s="9" t="s">
        <v>2499</v>
      </c>
    </row>
    <row r="10" spans="2:6">
      <c r="B10" s="6" t="s">
        <v>2510</v>
      </c>
      <c r="C10" s="9" t="s">
        <v>2511</v>
      </c>
      <c r="D10" s="12" t="s">
        <v>1383</v>
      </c>
      <c r="E10" s="12" t="s">
        <v>2512</v>
      </c>
      <c r="F10" s="9">
        <v>269501</v>
      </c>
    </row>
    <row r="11" spans="2:6">
      <c r="B11" s="6" t="s">
        <v>2535</v>
      </c>
      <c r="C11" s="9" t="s">
        <v>2536</v>
      </c>
      <c r="D11" s="12" t="s">
        <v>56</v>
      </c>
      <c r="E11" s="12" t="s">
        <v>1083</v>
      </c>
      <c r="F11" s="9" t="s">
        <v>2491</v>
      </c>
    </row>
    <row r="12" spans="2:6">
      <c r="B12" s="6" t="s">
        <v>2540</v>
      </c>
      <c r="C12" s="9" t="s">
        <v>2541</v>
      </c>
      <c r="D12" s="12" t="s">
        <v>38</v>
      </c>
      <c r="E12" s="12" t="s">
        <v>1360</v>
      </c>
      <c r="F12" s="9" t="s">
        <v>2542</v>
      </c>
    </row>
    <row r="13" spans="2:6">
      <c r="B13" s="6" t="s">
        <v>2545</v>
      </c>
      <c r="C13" s="9" t="s">
        <v>2546</v>
      </c>
      <c r="D13" s="12" t="s">
        <v>56</v>
      </c>
      <c r="E13" s="12" t="s">
        <v>1083</v>
      </c>
      <c r="F13" s="9" t="s">
        <v>2547</v>
      </c>
    </row>
    <row r="14" spans="2:6">
      <c r="B14" s="6" t="s">
        <v>2567</v>
      </c>
      <c r="C14" s="9" t="s">
        <v>2568</v>
      </c>
      <c r="D14" s="12" t="s">
        <v>2569</v>
      </c>
      <c r="E14" s="12" t="s">
        <v>2569</v>
      </c>
      <c r="F14" s="9">
        <v>1490</v>
      </c>
    </row>
    <row r="15" spans="2:6">
      <c r="B15" s="6" t="s">
        <v>2594</v>
      </c>
      <c r="C15" s="9" t="s">
        <v>2595</v>
      </c>
      <c r="D15" s="12" t="s">
        <v>1453</v>
      </c>
      <c r="E15" s="12" t="s">
        <v>2596</v>
      </c>
      <c r="F15" s="9" t="s">
        <v>2597</v>
      </c>
    </row>
    <row r="16" spans="2:6">
      <c r="B16" s="6" t="s">
        <v>2612</v>
      </c>
      <c r="C16" s="9" t="s">
        <v>2613</v>
      </c>
      <c r="D16" s="12" t="s">
        <v>38</v>
      </c>
      <c r="E16" s="12" t="s">
        <v>1353</v>
      </c>
      <c r="F16" s="9" t="s">
        <v>2614</v>
      </c>
    </row>
    <row r="17" spans="2:6">
      <c r="B17" s="6" t="s">
        <v>2631</v>
      </c>
      <c r="C17" s="9" t="s">
        <v>2632</v>
      </c>
      <c r="D17" s="12" t="s">
        <v>38</v>
      </c>
      <c r="E17" s="12" t="s">
        <v>2633</v>
      </c>
      <c r="F17" s="9" t="s">
        <v>2634</v>
      </c>
    </row>
    <row r="18" spans="2:6">
      <c r="B18" s="6" t="s">
        <v>2643</v>
      </c>
      <c r="C18" s="9" t="s">
        <v>2644</v>
      </c>
      <c r="D18" s="12" t="s">
        <v>38</v>
      </c>
      <c r="E18" s="12" t="s">
        <v>2645</v>
      </c>
      <c r="F18" s="9" t="s">
        <v>2646</v>
      </c>
    </row>
    <row r="19" spans="2:6">
      <c r="B19" s="6" t="s">
        <v>2655</v>
      </c>
      <c r="C19" s="9" t="s">
        <v>2656</v>
      </c>
      <c r="D19" s="12" t="s">
        <v>56</v>
      </c>
      <c r="E19" s="12" t="s">
        <v>1083</v>
      </c>
      <c r="F19" s="9" t="s">
        <v>2657</v>
      </c>
    </row>
    <row r="20" spans="2:6">
      <c r="B20" s="6" t="s">
        <v>2661</v>
      </c>
      <c r="C20" s="9" t="s">
        <v>2662</v>
      </c>
      <c r="D20" s="12" t="s">
        <v>38</v>
      </c>
      <c r="E20" s="12" t="s">
        <v>1360</v>
      </c>
      <c r="F20" s="9" t="s">
        <v>2663</v>
      </c>
    </row>
    <row r="21" spans="2:6">
      <c r="B21" s="6" t="s">
        <v>2666</v>
      </c>
      <c r="C21" s="9" t="s">
        <v>2667</v>
      </c>
      <c r="D21" s="12" t="s">
        <v>38</v>
      </c>
      <c r="E21" s="12" t="s">
        <v>1360</v>
      </c>
      <c r="F21" s="9" t="s">
        <v>2668</v>
      </c>
    </row>
    <row r="22" spans="2:6">
      <c r="B22" s="6" t="s">
        <v>2671</v>
      </c>
      <c r="C22" s="9" t="s">
        <v>2672</v>
      </c>
      <c r="D22" s="12" t="s">
        <v>1383</v>
      </c>
      <c r="E22" s="12" t="s">
        <v>2673</v>
      </c>
      <c r="F22" s="9">
        <v>269505</v>
      </c>
    </row>
    <row r="23" spans="2:6">
      <c r="B23" s="6" t="s">
        <v>2676</v>
      </c>
      <c r="C23" s="9" t="s">
        <v>2677</v>
      </c>
      <c r="D23" s="12" t="s">
        <v>38</v>
      </c>
      <c r="E23" s="12" t="s">
        <v>2680</v>
      </c>
      <c r="F23" s="9" t="s">
        <v>2681</v>
      </c>
    </row>
    <row r="24" spans="2:6">
      <c r="B24" s="6" t="s">
        <v>2687</v>
      </c>
      <c r="C24" s="9" t="s">
        <v>2688</v>
      </c>
      <c r="D24" s="12" t="s">
        <v>1453</v>
      </c>
      <c r="E24" s="12" t="s">
        <v>2426</v>
      </c>
      <c r="F24" s="9" t="s">
        <v>2689</v>
      </c>
    </row>
    <row r="25" spans="2:6">
      <c r="B25" s="6" t="s">
        <v>2710</v>
      </c>
      <c r="C25" s="9" t="s">
        <v>2711</v>
      </c>
      <c r="D25" s="12" t="s">
        <v>38</v>
      </c>
      <c r="E25" s="12" t="s">
        <v>2713</v>
      </c>
      <c r="F25" s="9" t="s">
        <v>2714</v>
      </c>
    </row>
    <row r="26" spans="2:6">
      <c r="B26" s="6" t="s">
        <v>2718</v>
      </c>
      <c r="C26" s="9" t="s">
        <v>2719</v>
      </c>
      <c r="D26" s="12" t="s">
        <v>38</v>
      </c>
      <c r="E26" s="12" t="s">
        <v>1367</v>
      </c>
      <c r="F26" s="9" t="s">
        <v>2721</v>
      </c>
    </row>
    <row r="27" spans="2:6">
      <c r="B27" s="6" t="s">
        <v>2724</v>
      </c>
      <c r="C27" s="9" t="s">
        <v>2725</v>
      </c>
      <c r="D27" s="12" t="s">
        <v>56</v>
      </c>
      <c r="E27" s="12" t="s">
        <v>1083</v>
      </c>
      <c r="F27" s="9" t="s">
        <v>2726</v>
      </c>
    </row>
    <row r="28" spans="2:6">
      <c r="B28" s="6" t="s">
        <v>2730</v>
      </c>
      <c r="C28" s="9" t="s">
        <v>2731</v>
      </c>
      <c r="D28" s="12" t="s">
        <v>38</v>
      </c>
      <c r="E28" s="12" t="s">
        <v>2633</v>
      </c>
      <c r="F28" s="9" t="s">
        <v>2732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"/>
  <sheetViews>
    <sheetView showGridLines="0" showRowColHeaders="0" zoomScaleNormal="100" workbookViewId="0">
      <selection activeCell="H6" sqref="H6"/>
    </sheetView>
  </sheetViews>
  <sheetFormatPr defaultColWidth="8.7109375" defaultRowHeight="15"/>
  <cols>
    <col min="1" max="16384" width="8.7109375" style="159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BFDC-C408-470D-952E-A6401ACF956B}">
  <dimension ref="A1:AC203"/>
  <sheetViews>
    <sheetView tabSelected="1" workbookViewId="0">
      <selection sqref="A1:AC1"/>
    </sheetView>
  </sheetViews>
  <sheetFormatPr defaultColWidth="8.85546875" defaultRowHeight="15"/>
  <cols>
    <col min="1" max="1" width="11.42578125" bestFit="1" customWidth="1"/>
    <col min="4" max="4" width="13.42578125" bestFit="1" customWidth="1"/>
    <col min="5" max="5" width="22.7109375" bestFit="1" customWidth="1"/>
    <col min="7" max="7" width="36.28515625" bestFit="1" customWidth="1"/>
    <col min="8" max="8" width="15" bestFit="1" customWidth="1"/>
    <col min="9" max="9" width="17" bestFit="1" customWidth="1"/>
    <col min="11" max="11" width="17.7109375" bestFit="1" customWidth="1"/>
    <col min="13" max="13" width="39.28515625" style="256" bestFit="1" customWidth="1"/>
    <col min="14" max="14" width="17.42578125" bestFit="1" customWidth="1"/>
    <col min="17" max="17" width="46" bestFit="1" customWidth="1"/>
    <col min="18" max="18" width="16.42578125" bestFit="1" customWidth="1"/>
    <col min="19" max="19" width="25" bestFit="1" customWidth="1"/>
    <col min="20" max="20" width="17.42578125" bestFit="1" customWidth="1"/>
    <col min="21" max="21" width="47.42578125" bestFit="1" customWidth="1"/>
    <col min="22" max="22" width="12.140625" customWidth="1"/>
    <col min="23" max="23" width="17.28515625" customWidth="1"/>
    <col min="24" max="24" width="14.140625" style="303" bestFit="1" customWidth="1"/>
    <col min="25" max="26" width="14.140625" customWidth="1"/>
    <col min="29" max="29" width="33.7109375" customWidth="1"/>
  </cols>
  <sheetData>
    <row r="1" spans="1:29">
      <c r="A1" t="s">
        <v>0</v>
      </c>
      <c r="B1" t="s">
        <v>2911</v>
      </c>
      <c r="C1" t="s">
        <v>3</v>
      </c>
      <c r="D1" t="s">
        <v>2912</v>
      </c>
      <c r="E1" t="s">
        <v>2913</v>
      </c>
      <c r="F1" t="s">
        <v>2914</v>
      </c>
      <c r="G1" t="s">
        <v>2915</v>
      </c>
      <c r="H1" t="s">
        <v>2916</v>
      </c>
      <c r="I1" t="s">
        <v>2917</v>
      </c>
      <c r="J1" t="s">
        <v>9</v>
      </c>
      <c r="K1" t="s">
        <v>10</v>
      </c>
      <c r="L1" t="s">
        <v>2918</v>
      </c>
      <c r="M1" s="256" t="s">
        <v>2919</v>
      </c>
      <c r="N1" t="s">
        <v>2920</v>
      </c>
      <c r="O1" t="s">
        <v>2921</v>
      </c>
      <c r="P1" t="s">
        <v>15</v>
      </c>
      <c r="Q1" t="s">
        <v>16</v>
      </c>
      <c r="R1" t="s">
        <v>2922</v>
      </c>
      <c r="S1" t="s">
        <v>18</v>
      </c>
      <c r="T1" t="s">
        <v>2923</v>
      </c>
      <c r="U1" t="s">
        <v>2924</v>
      </c>
      <c r="V1" t="s">
        <v>21</v>
      </c>
      <c r="W1" t="s">
        <v>2925</v>
      </c>
      <c r="X1" s="303" t="s">
        <v>2926</v>
      </c>
      <c r="Y1" t="s">
        <v>2927</v>
      </c>
      <c r="Z1" t="s">
        <v>2928</v>
      </c>
      <c r="AA1" t="s">
        <v>2929</v>
      </c>
      <c r="AB1" t="s">
        <v>2930</v>
      </c>
      <c r="AC1" t="s">
        <v>2931</v>
      </c>
    </row>
    <row r="2" spans="1:29">
      <c r="A2" t="s">
        <v>359</v>
      </c>
      <c r="B2" t="s">
        <v>360</v>
      </c>
      <c r="C2" t="s">
        <v>2932</v>
      </c>
      <c r="D2" t="s">
        <v>2912</v>
      </c>
      <c r="F2" t="s">
        <v>361</v>
      </c>
      <c r="G2" t="s">
        <v>2933</v>
      </c>
      <c r="J2" t="s">
        <v>34</v>
      </c>
      <c r="M2" s="256">
        <v>45056</v>
      </c>
      <c r="N2" s="216"/>
      <c r="P2" t="s">
        <v>2934</v>
      </c>
      <c r="Q2" t="s">
        <v>365</v>
      </c>
      <c r="R2" t="s">
        <v>366</v>
      </c>
      <c r="T2" t="s">
        <v>2935</v>
      </c>
      <c r="AC2" t="s">
        <v>2936</v>
      </c>
    </row>
    <row r="3" spans="1:29">
      <c r="A3" t="s">
        <v>369</v>
      </c>
      <c r="B3" t="s">
        <v>370</v>
      </c>
      <c r="C3" t="s">
        <v>2932</v>
      </c>
      <c r="D3" t="s">
        <v>2912</v>
      </c>
      <c r="E3" t="s">
        <v>368</v>
      </c>
      <c r="F3" t="s">
        <v>32</v>
      </c>
      <c r="G3" t="s">
        <v>373</v>
      </c>
      <c r="J3" t="s">
        <v>34</v>
      </c>
      <c r="M3" s="256">
        <v>45056</v>
      </c>
      <c r="N3" s="216"/>
      <c r="P3" t="s">
        <v>2934</v>
      </c>
      <c r="Q3" t="s">
        <v>336</v>
      </c>
      <c r="R3" t="s">
        <v>376</v>
      </c>
      <c r="S3" t="s">
        <v>377</v>
      </c>
      <c r="T3" t="s">
        <v>2935</v>
      </c>
      <c r="V3" t="s">
        <v>86</v>
      </c>
      <c r="W3" t="s">
        <v>2937</v>
      </c>
      <c r="X3" s="303" t="s">
        <v>379</v>
      </c>
      <c r="AC3" t="s">
        <v>2938</v>
      </c>
    </row>
    <row r="4" spans="1:29">
      <c r="A4" t="s">
        <v>369</v>
      </c>
      <c r="B4" t="s">
        <v>381</v>
      </c>
      <c r="C4" t="s">
        <v>2939</v>
      </c>
      <c r="D4" t="s">
        <v>2912</v>
      </c>
      <c r="E4" t="s">
        <v>368</v>
      </c>
      <c r="F4" t="s">
        <v>32</v>
      </c>
      <c r="G4" t="s">
        <v>383</v>
      </c>
      <c r="J4" t="s">
        <v>34</v>
      </c>
      <c r="M4" s="256">
        <v>45056</v>
      </c>
      <c r="N4" s="216"/>
      <c r="P4" t="s">
        <v>2934</v>
      </c>
      <c r="Q4" t="s">
        <v>336</v>
      </c>
      <c r="R4" t="s">
        <v>385</v>
      </c>
      <c r="S4" t="s">
        <v>377</v>
      </c>
      <c r="T4" t="s">
        <v>2935</v>
      </c>
      <c r="V4" t="s">
        <v>86</v>
      </c>
      <c r="W4" t="s">
        <v>2937</v>
      </c>
      <c r="X4" s="303" t="s">
        <v>386</v>
      </c>
      <c r="AC4" t="s">
        <v>2940</v>
      </c>
    </row>
    <row r="5" spans="1:29">
      <c r="A5" t="s">
        <v>369</v>
      </c>
      <c r="B5" t="s">
        <v>387</v>
      </c>
      <c r="C5" t="s">
        <v>2939</v>
      </c>
      <c r="D5" t="s">
        <v>2912</v>
      </c>
      <c r="E5" t="s">
        <v>368</v>
      </c>
      <c r="F5" t="s">
        <v>32</v>
      </c>
      <c r="G5" t="s">
        <v>389</v>
      </c>
      <c r="J5" t="s">
        <v>34</v>
      </c>
      <c r="M5" s="256">
        <v>45056</v>
      </c>
      <c r="N5" s="216"/>
      <c r="P5" t="s">
        <v>2934</v>
      </c>
      <c r="Q5" t="s">
        <v>336</v>
      </c>
      <c r="R5" t="s">
        <v>391</v>
      </c>
      <c r="S5" t="s">
        <v>377</v>
      </c>
      <c r="T5" t="s">
        <v>2935</v>
      </c>
      <c r="V5" t="s">
        <v>86</v>
      </c>
      <c r="W5" t="s">
        <v>2937</v>
      </c>
      <c r="X5" s="303" t="s">
        <v>392</v>
      </c>
      <c r="AC5" t="s">
        <v>2941</v>
      </c>
    </row>
    <row r="6" spans="1:29">
      <c r="A6" t="s">
        <v>369</v>
      </c>
      <c r="B6" t="s">
        <v>393</v>
      </c>
      <c r="C6" t="s">
        <v>2939</v>
      </c>
      <c r="D6" t="s">
        <v>2912</v>
      </c>
      <c r="E6" t="s">
        <v>368</v>
      </c>
      <c r="F6" t="s">
        <v>32</v>
      </c>
      <c r="G6" t="s">
        <v>395</v>
      </c>
      <c r="J6" t="s">
        <v>34</v>
      </c>
      <c r="M6" s="256">
        <v>45056</v>
      </c>
      <c r="N6" s="216"/>
      <c r="P6" t="s">
        <v>2934</v>
      </c>
      <c r="Q6" t="s">
        <v>336</v>
      </c>
      <c r="R6" t="s">
        <v>397</v>
      </c>
      <c r="S6" t="s">
        <v>377</v>
      </c>
      <c r="T6" t="s">
        <v>2935</v>
      </c>
      <c r="V6" t="s">
        <v>86</v>
      </c>
      <c r="W6" t="s">
        <v>2937</v>
      </c>
      <c r="AC6" t="s">
        <v>2942</v>
      </c>
    </row>
    <row r="7" spans="1:29">
      <c r="A7" t="s">
        <v>369</v>
      </c>
      <c r="B7" t="s">
        <v>400</v>
      </c>
      <c r="C7" t="s">
        <v>2939</v>
      </c>
      <c r="D7" t="s">
        <v>2912</v>
      </c>
      <c r="E7" t="s">
        <v>368</v>
      </c>
      <c r="F7" t="s">
        <v>32</v>
      </c>
      <c r="G7" t="s">
        <v>401</v>
      </c>
      <c r="J7" t="s">
        <v>34</v>
      </c>
      <c r="M7" s="256">
        <v>45056</v>
      </c>
      <c r="N7" s="216"/>
      <c r="P7" t="s">
        <v>2934</v>
      </c>
      <c r="Q7" t="s">
        <v>336</v>
      </c>
      <c r="R7" t="s">
        <v>403</v>
      </c>
      <c r="S7" t="s">
        <v>377</v>
      </c>
      <c r="T7" t="s">
        <v>2935</v>
      </c>
      <c r="V7" t="s">
        <v>86</v>
      </c>
      <c r="W7" t="s">
        <v>2937</v>
      </c>
      <c r="X7" s="303" t="s">
        <v>404</v>
      </c>
      <c r="AC7" t="s">
        <v>2943</v>
      </c>
    </row>
    <row r="8" spans="1:29">
      <c r="A8" t="s">
        <v>369</v>
      </c>
      <c r="B8" t="s">
        <v>405</v>
      </c>
      <c r="C8" t="s">
        <v>2944</v>
      </c>
      <c r="D8" t="s">
        <v>2912</v>
      </c>
      <c r="E8" t="s">
        <v>368</v>
      </c>
      <c r="F8" t="s">
        <v>32</v>
      </c>
      <c r="G8" t="s">
        <v>720</v>
      </c>
      <c r="J8" t="s">
        <v>34</v>
      </c>
      <c r="M8" s="256">
        <v>45056</v>
      </c>
      <c r="N8" s="216"/>
      <c r="P8" t="s">
        <v>2934</v>
      </c>
      <c r="Q8" t="s">
        <v>336</v>
      </c>
      <c r="R8" t="s">
        <v>410</v>
      </c>
      <c r="S8" t="s">
        <v>377</v>
      </c>
      <c r="T8" t="s">
        <v>2935</v>
      </c>
      <c r="V8" t="s">
        <v>86</v>
      </c>
      <c r="W8" t="s">
        <v>2937</v>
      </c>
      <c r="X8" s="303" t="s">
        <v>411</v>
      </c>
      <c r="AC8" t="s">
        <v>2945</v>
      </c>
    </row>
    <row r="9" spans="1:29">
      <c r="A9" t="s">
        <v>369</v>
      </c>
      <c r="B9" t="s">
        <v>412</v>
      </c>
      <c r="C9" t="s">
        <v>2944</v>
      </c>
      <c r="D9" t="s">
        <v>2912</v>
      </c>
      <c r="E9" t="s">
        <v>388</v>
      </c>
      <c r="F9" t="s">
        <v>32</v>
      </c>
      <c r="G9" t="s">
        <v>413</v>
      </c>
      <c r="J9" t="s">
        <v>34</v>
      </c>
      <c r="M9" s="256">
        <v>45056</v>
      </c>
      <c r="N9" s="216"/>
      <c r="P9" t="s">
        <v>2934</v>
      </c>
      <c r="Q9" t="s">
        <v>336</v>
      </c>
      <c r="R9" t="s">
        <v>415</v>
      </c>
      <c r="S9" t="s">
        <v>377</v>
      </c>
      <c r="T9" t="s">
        <v>2935</v>
      </c>
      <c r="V9" t="s">
        <v>86</v>
      </c>
      <c r="W9" t="s">
        <v>2937</v>
      </c>
      <c r="X9" s="303" t="s">
        <v>416</v>
      </c>
      <c r="AC9" t="s">
        <v>2946</v>
      </c>
    </row>
    <row r="10" spans="1:29">
      <c r="A10" t="s">
        <v>417</v>
      </c>
      <c r="B10" t="s">
        <v>418</v>
      </c>
      <c r="C10" t="s">
        <v>2944</v>
      </c>
      <c r="D10" t="s">
        <v>2912</v>
      </c>
      <c r="F10" t="s">
        <v>51</v>
      </c>
      <c r="G10" t="s">
        <v>419</v>
      </c>
      <c r="J10" t="s">
        <v>34</v>
      </c>
      <c r="M10" s="256">
        <v>45994</v>
      </c>
      <c r="N10" s="216"/>
      <c r="P10" t="s">
        <v>38</v>
      </c>
      <c r="Q10" t="s">
        <v>421</v>
      </c>
      <c r="R10" t="s">
        <v>422</v>
      </c>
      <c r="S10" t="s">
        <v>272</v>
      </c>
      <c r="V10" t="s">
        <v>423</v>
      </c>
      <c r="W10" t="s">
        <v>424</v>
      </c>
      <c r="X10" s="303" t="s">
        <v>425</v>
      </c>
      <c r="AC10" t="s">
        <v>2947</v>
      </c>
    </row>
    <row r="11" spans="1:29">
      <c r="A11" t="s">
        <v>417</v>
      </c>
      <c r="B11" t="s">
        <v>427</v>
      </c>
      <c r="C11" t="s">
        <v>2944</v>
      </c>
      <c r="D11" t="s">
        <v>2912</v>
      </c>
      <c r="F11" t="s">
        <v>51</v>
      </c>
      <c r="G11" t="s">
        <v>428</v>
      </c>
      <c r="J11" t="s">
        <v>34</v>
      </c>
      <c r="M11" s="256">
        <v>45994</v>
      </c>
      <c r="N11" s="216"/>
      <c r="P11" t="s">
        <v>38</v>
      </c>
      <c r="Q11" t="s">
        <v>421</v>
      </c>
      <c r="R11" t="s">
        <v>429</v>
      </c>
      <c r="S11" t="s">
        <v>272</v>
      </c>
      <c r="V11" t="s">
        <v>423</v>
      </c>
      <c r="W11" t="s">
        <v>424</v>
      </c>
      <c r="X11" s="303" t="s">
        <v>430</v>
      </c>
      <c r="AC11" t="s">
        <v>2948</v>
      </c>
    </row>
    <row r="12" spans="1:29">
      <c r="A12" t="s">
        <v>417</v>
      </c>
      <c r="B12" t="s">
        <v>431</v>
      </c>
      <c r="C12" t="s">
        <v>2944</v>
      </c>
      <c r="D12" t="s">
        <v>2912</v>
      </c>
      <c r="F12" t="s">
        <v>51</v>
      </c>
      <c r="G12" t="s">
        <v>432</v>
      </c>
      <c r="J12" t="s">
        <v>34</v>
      </c>
      <c r="M12" s="256">
        <v>45994</v>
      </c>
      <c r="N12" s="216"/>
      <c r="P12" t="s">
        <v>38</v>
      </c>
      <c r="Q12" t="s">
        <v>421</v>
      </c>
      <c r="R12" t="s">
        <v>433</v>
      </c>
      <c r="S12" t="s">
        <v>272</v>
      </c>
      <c r="T12" t="s">
        <v>2949</v>
      </c>
      <c r="U12" t="s">
        <v>434</v>
      </c>
      <c r="V12" t="s">
        <v>423</v>
      </c>
      <c r="W12" t="s">
        <v>424</v>
      </c>
      <c r="X12" s="303" t="s">
        <v>435</v>
      </c>
      <c r="AC12" t="s">
        <v>2950</v>
      </c>
    </row>
    <row r="13" spans="1:29">
      <c r="A13" t="s">
        <v>417</v>
      </c>
      <c r="B13" t="s">
        <v>436</v>
      </c>
      <c r="C13" t="s">
        <v>2944</v>
      </c>
      <c r="D13" t="s">
        <v>2912</v>
      </c>
      <c r="F13" t="s">
        <v>51</v>
      </c>
      <c r="G13" t="s">
        <v>437</v>
      </c>
      <c r="J13" t="s">
        <v>34</v>
      </c>
      <c r="M13" s="256">
        <v>45994</v>
      </c>
      <c r="N13" s="216"/>
      <c r="P13" t="s">
        <v>38</v>
      </c>
      <c r="Q13" t="s">
        <v>421</v>
      </c>
      <c r="R13" t="s">
        <v>438</v>
      </c>
      <c r="S13" t="s">
        <v>272</v>
      </c>
      <c r="T13" t="s">
        <v>2949</v>
      </c>
      <c r="U13" t="s">
        <v>439</v>
      </c>
      <c r="V13" t="s">
        <v>423</v>
      </c>
      <c r="W13" t="s">
        <v>424</v>
      </c>
      <c r="X13" s="303" t="s">
        <v>440</v>
      </c>
      <c r="AC13" t="s">
        <v>2951</v>
      </c>
    </row>
    <row r="14" spans="1:29">
      <c r="A14" t="s">
        <v>417</v>
      </c>
      <c r="B14" t="s">
        <v>441</v>
      </c>
      <c r="C14" t="s">
        <v>2944</v>
      </c>
      <c r="D14" t="s">
        <v>2912</v>
      </c>
      <c r="F14" t="s">
        <v>51</v>
      </c>
      <c r="G14" t="s">
        <v>166</v>
      </c>
      <c r="J14" t="s">
        <v>34</v>
      </c>
      <c r="M14" s="256">
        <v>45994</v>
      </c>
      <c r="N14" s="216"/>
      <c r="P14" t="s">
        <v>38</v>
      </c>
      <c r="Q14" t="s">
        <v>421</v>
      </c>
      <c r="R14" t="s">
        <v>442</v>
      </c>
      <c r="S14" t="s">
        <v>272</v>
      </c>
      <c r="T14" t="s">
        <v>2949</v>
      </c>
      <c r="U14" t="s">
        <v>443</v>
      </c>
      <c r="V14" t="s">
        <v>423</v>
      </c>
      <c r="W14" t="s">
        <v>424</v>
      </c>
      <c r="X14" s="303" t="s">
        <v>444</v>
      </c>
      <c r="AC14" t="s">
        <v>2952</v>
      </c>
    </row>
    <row r="15" spans="1:29">
      <c r="A15" t="s">
        <v>417</v>
      </c>
      <c r="B15" t="s">
        <v>445</v>
      </c>
      <c r="C15" t="s">
        <v>2944</v>
      </c>
      <c r="D15" t="s">
        <v>2912</v>
      </c>
      <c r="F15" t="s">
        <v>51</v>
      </c>
      <c r="G15" t="s">
        <v>446</v>
      </c>
      <c r="J15" t="s">
        <v>34</v>
      </c>
      <c r="M15" s="256">
        <v>45994</v>
      </c>
      <c r="N15" s="216"/>
      <c r="P15" t="s">
        <v>38</v>
      </c>
      <c r="Q15" t="s">
        <v>421</v>
      </c>
      <c r="R15" t="s">
        <v>447</v>
      </c>
      <c r="S15" t="s">
        <v>272</v>
      </c>
      <c r="T15" t="s">
        <v>2949</v>
      </c>
      <c r="U15" t="s">
        <v>448</v>
      </c>
      <c r="V15" t="s">
        <v>423</v>
      </c>
      <c r="W15" t="s">
        <v>424</v>
      </c>
      <c r="X15" s="303" t="s">
        <v>449</v>
      </c>
      <c r="AC15" t="s">
        <v>2953</v>
      </c>
    </row>
    <row r="16" spans="1:29">
      <c r="A16" t="s">
        <v>417</v>
      </c>
      <c r="B16" t="s">
        <v>450</v>
      </c>
      <c r="C16" t="s">
        <v>2944</v>
      </c>
      <c r="D16" t="s">
        <v>2912</v>
      </c>
      <c r="F16" t="s">
        <v>51</v>
      </c>
      <c r="G16" t="s">
        <v>451</v>
      </c>
      <c r="J16" t="s">
        <v>34</v>
      </c>
      <c r="M16" s="256">
        <v>45994</v>
      </c>
      <c r="N16" s="216"/>
      <c r="P16" t="s">
        <v>38</v>
      </c>
      <c r="Q16" t="s">
        <v>421</v>
      </c>
      <c r="R16" t="s">
        <v>452</v>
      </c>
      <c r="S16" t="s">
        <v>272</v>
      </c>
      <c r="T16" t="s">
        <v>2949</v>
      </c>
      <c r="U16" t="s">
        <v>453</v>
      </c>
      <c r="V16" t="s">
        <v>423</v>
      </c>
      <c r="W16" t="s">
        <v>424</v>
      </c>
      <c r="X16" s="303" t="s">
        <v>454</v>
      </c>
      <c r="AC16" t="s">
        <v>2954</v>
      </c>
    </row>
    <row r="17" spans="1:29">
      <c r="A17" t="s">
        <v>417</v>
      </c>
      <c r="B17" t="s">
        <v>455</v>
      </c>
      <c r="C17" t="s">
        <v>2944</v>
      </c>
      <c r="D17" t="s">
        <v>2912</v>
      </c>
      <c r="F17" t="s">
        <v>51</v>
      </c>
      <c r="G17" t="s">
        <v>2955</v>
      </c>
      <c r="J17" t="s">
        <v>34</v>
      </c>
      <c r="M17" s="256">
        <v>45994</v>
      </c>
      <c r="N17" s="216"/>
      <c r="P17" t="s">
        <v>38</v>
      </c>
      <c r="Q17" t="s">
        <v>421</v>
      </c>
      <c r="R17" t="s">
        <v>457</v>
      </c>
      <c r="S17" t="s">
        <v>272</v>
      </c>
      <c r="T17" t="s">
        <v>2935</v>
      </c>
      <c r="V17" t="s">
        <v>423</v>
      </c>
      <c r="W17" t="s">
        <v>424</v>
      </c>
      <c r="X17" s="303" t="s">
        <v>459</v>
      </c>
      <c r="AC17" t="s">
        <v>2956</v>
      </c>
    </row>
    <row r="18" spans="1:29">
      <c r="A18" t="s">
        <v>417</v>
      </c>
      <c r="B18" t="s">
        <v>460</v>
      </c>
      <c r="C18" t="s">
        <v>2944</v>
      </c>
      <c r="D18" t="s">
        <v>2912</v>
      </c>
      <c r="F18" t="s">
        <v>51</v>
      </c>
      <c r="G18" t="s">
        <v>461</v>
      </c>
      <c r="J18" t="s">
        <v>34</v>
      </c>
      <c r="M18" s="256">
        <v>45994</v>
      </c>
      <c r="N18" s="216"/>
      <c r="P18" t="s">
        <v>38</v>
      </c>
      <c r="Q18" t="s">
        <v>421</v>
      </c>
      <c r="R18" t="s">
        <v>462</v>
      </c>
      <c r="S18" t="s">
        <v>272</v>
      </c>
      <c r="T18" t="s">
        <v>2949</v>
      </c>
      <c r="U18" t="s">
        <v>463</v>
      </c>
      <c r="V18" t="s">
        <v>423</v>
      </c>
      <c r="W18" t="s">
        <v>424</v>
      </c>
      <c r="X18" s="303" t="s">
        <v>464</v>
      </c>
      <c r="AC18" t="s">
        <v>2957</v>
      </c>
    </row>
    <row r="19" spans="1:29">
      <c r="A19" t="s">
        <v>417</v>
      </c>
      <c r="B19" t="s">
        <v>465</v>
      </c>
      <c r="C19" t="s">
        <v>2944</v>
      </c>
      <c r="D19" t="s">
        <v>2912</v>
      </c>
      <c r="F19" t="s">
        <v>51</v>
      </c>
      <c r="G19" t="s">
        <v>456</v>
      </c>
      <c r="J19" t="s">
        <v>34</v>
      </c>
      <c r="M19" s="256">
        <v>45994</v>
      </c>
      <c r="N19" s="216"/>
      <c r="P19" t="s">
        <v>38</v>
      </c>
      <c r="Q19" t="s">
        <v>421</v>
      </c>
      <c r="R19" t="s">
        <v>466</v>
      </c>
      <c r="S19" t="s">
        <v>272</v>
      </c>
      <c r="T19" t="s">
        <v>2935</v>
      </c>
      <c r="V19" t="s">
        <v>423</v>
      </c>
      <c r="W19" t="s">
        <v>424</v>
      </c>
      <c r="X19" s="303" t="s">
        <v>2958</v>
      </c>
      <c r="AC19" t="s">
        <v>2959</v>
      </c>
    </row>
    <row r="20" spans="1:29">
      <c r="A20" t="s">
        <v>417</v>
      </c>
      <c r="B20" t="s">
        <v>469</v>
      </c>
      <c r="C20" t="s">
        <v>2944</v>
      </c>
      <c r="D20" t="s">
        <v>2912</v>
      </c>
      <c r="F20" t="s">
        <v>51</v>
      </c>
      <c r="G20" t="s">
        <v>470</v>
      </c>
      <c r="J20" t="s">
        <v>34</v>
      </c>
      <c r="M20" s="256">
        <v>45994</v>
      </c>
      <c r="N20" s="216"/>
      <c r="P20" t="s">
        <v>38</v>
      </c>
      <c r="Q20" t="s">
        <v>421</v>
      </c>
      <c r="R20" t="s">
        <v>471</v>
      </c>
      <c r="S20" t="s">
        <v>272</v>
      </c>
      <c r="T20" t="s">
        <v>2949</v>
      </c>
      <c r="U20" t="s">
        <v>472</v>
      </c>
      <c r="V20" t="s">
        <v>423</v>
      </c>
      <c r="W20" t="s">
        <v>424</v>
      </c>
      <c r="X20" s="303" t="s">
        <v>473</v>
      </c>
      <c r="AC20" t="s">
        <v>2960</v>
      </c>
    </row>
    <row r="21" spans="1:29">
      <c r="A21" t="s">
        <v>417</v>
      </c>
      <c r="B21" t="s">
        <v>474</v>
      </c>
      <c r="C21" t="s">
        <v>2944</v>
      </c>
      <c r="D21" t="s">
        <v>2912</v>
      </c>
      <c r="F21" t="s">
        <v>51</v>
      </c>
      <c r="G21" t="s">
        <v>2961</v>
      </c>
      <c r="H21">
        <v>160077</v>
      </c>
      <c r="I21" t="s">
        <v>475</v>
      </c>
      <c r="J21" t="s">
        <v>34</v>
      </c>
      <c r="K21" t="s">
        <v>209</v>
      </c>
      <c r="L21" t="s">
        <v>2962</v>
      </c>
      <c r="M21" s="256">
        <v>45994</v>
      </c>
      <c r="N21" s="216">
        <v>46167.666666666701</v>
      </c>
      <c r="P21" t="s">
        <v>38</v>
      </c>
      <c r="Q21" t="s">
        <v>421</v>
      </c>
      <c r="R21" t="s">
        <v>477</v>
      </c>
      <c r="S21" t="s">
        <v>272</v>
      </c>
      <c r="T21" t="s">
        <v>2949</v>
      </c>
      <c r="U21" t="s">
        <v>478</v>
      </c>
      <c r="V21" t="s">
        <v>423</v>
      </c>
      <c r="W21" t="s">
        <v>424</v>
      </c>
      <c r="X21" s="303" t="s">
        <v>479</v>
      </c>
      <c r="AC21" t="s">
        <v>2963</v>
      </c>
    </row>
    <row r="22" spans="1:29">
      <c r="A22" t="s">
        <v>417</v>
      </c>
      <c r="B22" t="s">
        <v>480</v>
      </c>
      <c r="C22" t="s">
        <v>2944</v>
      </c>
      <c r="D22" t="s">
        <v>2912</v>
      </c>
      <c r="F22" t="s">
        <v>51</v>
      </c>
      <c r="G22" t="s">
        <v>481</v>
      </c>
      <c r="J22" t="s">
        <v>34</v>
      </c>
      <c r="M22" s="256">
        <v>45994</v>
      </c>
      <c r="N22" s="216"/>
      <c r="P22" t="s">
        <v>38</v>
      </c>
      <c r="Q22" t="s">
        <v>421</v>
      </c>
      <c r="R22" t="s">
        <v>482</v>
      </c>
      <c r="S22" t="s">
        <v>272</v>
      </c>
      <c r="T22" t="s">
        <v>2949</v>
      </c>
      <c r="U22" t="s">
        <v>483</v>
      </c>
      <c r="V22" t="s">
        <v>423</v>
      </c>
      <c r="W22" t="s">
        <v>424</v>
      </c>
      <c r="X22" s="303" t="s">
        <v>484</v>
      </c>
      <c r="AC22" t="s">
        <v>2964</v>
      </c>
    </row>
    <row r="23" spans="1:29">
      <c r="A23" t="s">
        <v>417</v>
      </c>
      <c r="B23" t="s">
        <v>485</v>
      </c>
      <c r="C23" t="s">
        <v>2944</v>
      </c>
      <c r="D23" t="s">
        <v>2912</v>
      </c>
      <c r="F23" t="s">
        <v>51</v>
      </c>
      <c r="G23" t="s">
        <v>486</v>
      </c>
      <c r="J23" t="s">
        <v>34</v>
      </c>
      <c r="M23" s="256">
        <v>45994</v>
      </c>
      <c r="N23" s="216"/>
      <c r="P23" t="s">
        <v>38</v>
      </c>
      <c r="Q23" t="s">
        <v>421</v>
      </c>
      <c r="R23" t="s">
        <v>487</v>
      </c>
      <c r="S23" t="s">
        <v>272</v>
      </c>
      <c r="V23" t="s">
        <v>423</v>
      </c>
      <c r="W23" t="s">
        <v>424</v>
      </c>
      <c r="X23" s="303" t="s">
        <v>2965</v>
      </c>
      <c r="AC23" t="s">
        <v>2966</v>
      </c>
    </row>
    <row r="24" spans="1:29">
      <c r="A24" t="s">
        <v>490</v>
      </c>
      <c r="B24" t="s">
        <v>491</v>
      </c>
      <c r="C24" t="s">
        <v>2939</v>
      </c>
      <c r="D24" t="s">
        <v>2912</v>
      </c>
      <c r="E24" t="s">
        <v>368</v>
      </c>
      <c r="F24" t="s">
        <v>32</v>
      </c>
      <c r="G24" t="s">
        <v>493</v>
      </c>
      <c r="J24" t="s">
        <v>34</v>
      </c>
      <c r="M24" s="256">
        <v>45056</v>
      </c>
      <c r="N24" s="216"/>
      <c r="P24" t="s">
        <v>177</v>
      </c>
      <c r="Q24" t="s">
        <v>495</v>
      </c>
      <c r="R24" t="s">
        <v>496</v>
      </c>
      <c r="S24" t="s">
        <v>59</v>
      </c>
      <c r="U24" t="s">
        <v>497</v>
      </c>
      <c r="V24" t="s">
        <v>86</v>
      </c>
      <c r="W24" t="s">
        <v>424</v>
      </c>
      <c r="X24" s="303" t="s">
        <v>498</v>
      </c>
      <c r="AC24" t="s">
        <v>2967</v>
      </c>
    </row>
    <row r="25" spans="1:29">
      <c r="A25" t="s">
        <v>490</v>
      </c>
      <c r="B25" t="s">
        <v>500</v>
      </c>
      <c r="C25" t="s">
        <v>2939</v>
      </c>
      <c r="D25" t="s">
        <v>2912</v>
      </c>
      <c r="E25" t="s">
        <v>368</v>
      </c>
      <c r="F25" t="s">
        <v>32</v>
      </c>
      <c r="G25" t="s">
        <v>475</v>
      </c>
      <c r="J25" t="s">
        <v>34</v>
      </c>
      <c r="M25" s="256">
        <v>45056</v>
      </c>
      <c r="N25" s="216"/>
      <c r="P25" t="s">
        <v>177</v>
      </c>
      <c r="Q25" t="s">
        <v>495</v>
      </c>
      <c r="R25" t="s">
        <v>504</v>
      </c>
      <c r="S25" t="s">
        <v>59</v>
      </c>
      <c r="U25" t="s">
        <v>505</v>
      </c>
      <c r="V25" t="s">
        <v>86</v>
      </c>
      <c r="W25" t="s">
        <v>424</v>
      </c>
      <c r="X25" s="303" t="s">
        <v>506</v>
      </c>
      <c r="AC25" t="s">
        <v>2968</v>
      </c>
    </row>
    <row r="26" spans="1:29">
      <c r="A26" t="s">
        <v>490</v>
      </c>
      <c r="B26" t="s">
        <v>507</v>
      </c>
      <c r="C26" t="s">
        <v>2939</v>
      </c>
      <c r="D26" t="s">
        <v>2912</v>
      </c>
      <c r="E26" t="s">
        <v>368</v>
      </c>
      <c r="F26" t="s">
        <v>32</v>
      </c>
      <c r="G26" t="s">
        <v>508</v>
      </c>
      <c r="J26" t="s">
        <v>34</v>
      </c>
      <c r="M26" s="256">
        <v>45056</v>
      </c>
      <c r="N26" s="216"/>
      <c r="P26" t="s">
        <v>177</v>
      </c>
      <c r="Q26" t="s">
        <v>495</v>
      </c>
      <c r="R26" t="s">
        <v>510</v>
      </c>
      <c r="S26" t="s">
        <v>59</v>
      </c>
      <c r="V26" t="s">
        <v>86</v>
      </c>
      <c r="W26" t="s">
        <v>424</v>
      </c>
      <c r="X26" s="303" t="s">
        <v>511</v>
      </c>
      <c r="AC26" t="s">
        <v>2969</v>
      </c>
    </row>
    <row r="27" spans="1:29">
      <c r="A27" t="s">
        <v>490</v>
      </c>
      <c r="B27" t="s">
        <v>512</v>
      </c>
      <c r="C27" t="s">
        <v>2939</v>
      </c>
      <c r="D27" t="s">
        <v>2912</v>
      </c>
      <c r="E27" t="s">
        <v>368</v>
      </c>
      <c r="F27" t="s">
        <v>32</v>
      </c>
      <c r="G27" t="s">
        <v>514</v>
      </c>
      <c r="J27" t="s">
        <v>34</v>
      </c>
      <c r="M27" s="256">
        <v>45056</v>
      </c>
      <c r="N27" s="216"/>
      <c r="P27" t="s">
        <v>177</v>
      </c>
      <c r="Q27" t="s">
        <v>495</v>
      </c>
      <c r="R27" t="s">
        <v>516</v>
      </c>
      <c r="S27" t="s">
        <v>59</v>
      </c>
      <c r="U27" t="s">
        <v>518</v>
      </c>
      <c r="V27" t="s">
        <v>86</v>
      </c>
      <c r="W27" t="s">
        <v>424</v>
      </c>
      <c r="X27" s="303" t="s">
        <v>519</v>
      </c>
      <c r="AC27" t="s">
        <v>2970</v>
      </c>
    </row>
    <row r="28" spans="1:29">
      <c r="A28" t="s">
        <v>490</v>
      </c>
      <c r="B28" t="s">
        <v>520</v>
      </c>
      <c r="C28" t="s">
        <v>2939</v>
      </c>
      <c r="D28" t="s">
        <v>2912</v>
      </c>
      <c r="E28" t="s">
        <v>368</v>
      </c>
      <c r="F28" t="s">
        <v>32</v>
      </c>
      <c r="G28" t="s">
        <v>521</v>
      </c>
      <c r="J28" t="s">
        <v>34</v>
      </c>
      <c r="M28" s="256">
        <v>45056</v>
      </c>
      <c r="N28" s="216"/>
      <c r="P28" t="s">
        <v>177</v>
      </c>
      <c r="Q28" t="s">
        <v>495</v>
      </c>
      <c r="R28" t="s">
        <v>523</v>
      </c>
      <c r="S28" t="s">
        <v>59</v>
      </c>
      <c r="V28" t="s">
        <v>86</v>
      </c>
      <c r="W28" t="s">
        <v>424</v>
      </c>
      <c r="X28" s="303" t="s">
        <v>524</v>
      </c>
      <c r="AC28" t="s">
        <v>2971</v>
      </c>
    </row>
    <row r="29" spans="1:29">
      <c r="A29" t="s">
        <v>490</v>
      </c>
      <c r="B29" t="s">
        <v>525</v>
      </c>
      <c r="C29" t="s">
        <v>2939</v>
      </c>
      <c r="D29" t="s">
        <v>2912</v>
      </c>
      <c r="E29" t="s">
        <v>368</v>
      </c>
      <c r="F29" t="s">
        <v>32</v>
      </c>
      <c r="G29" t="s">
        <v>782</v>
      </c>
      <c r="J29" t="s">
        <v>34</v>
      </c>
      <c r="M29" s="256">
        <v>45056</v>
      </c>
      <c r="N29" s="216"/>
      <c r="P29" t="s">
        <v>177</v>
      </c>
      <c r="Q29" t="s">
        <v>495</v>
      </c>
      <c r="R29" t="s">
        <v>528</v>
      </c>
      <c r="S29" t="s">
        <v>59</v>
      </c>
      <c r="U29" t="s">
        <v>529</v>
      </c>
      <c r="V29" t="s">
        <v>86</v>
      </c>
      <c r="W29" t="s">
        <v>424</v>
      </c>
      <c r="X29" s="303" t="s">
        <v>530</v>
      </c>
      <c r="AC29" t="s">
        <v>2972</v>
      </c>
    </row>
    <row r="30" spans="1:29">
      <c r="A30" t="s">
        <v>490</v>
      </c>
      <c r="B30" t="s">
        <v>531</v>
      </c>
      <c r="C30" t="s">
        <v>2939</v>
      </c>
      <c r="D30" t="s">
        <v>2912</v>
      </c>
      <c r="E30" t="s">
        <v>368</v>
      </c>
      <c r="F30" t="s">
        <v>32</v>
      </c>
      <c r="G30" t="s">
        <v>2973</v>
      </c>
      <c r="J30" t="s">
        <v>34</v>
      </c>
      <c r="M30" s="256">
        <v>45056</v>
      </c>
      <c r="N30" s="216"/>
      <c r="P30" t="s">
        <v>177</v>
      </c>
      <c r="Q30" t="s">
        <v>495</v>
      </c>
      <c r="R30" t="s">
        <v>534</v>
      </c>
      <c r="S30" t="s">
        <v>59</v>
      </c>
      <c r="U30" t="s">
        <v>536</v>
      </c>
      <c r="V30" t="s">
        <v>86</v>
      </c>
      <c r="W30" t="s">
        <v>424</v>
      </c>
      <c r="X30" s="303" t="s">
        <v>537</v>
      </c>
      <c r="AC30" t="s">
        <v>2974</v>
      </c>
    </row>
    <row r="31" spans="1:29">
      <c r="A31" t="s">
        <v>490</v>
      </c>
      <c r="B31" t="s">
        <v>538</v>
      </c>
      <c r="C31" t="s">
        <v>2939</v>
      </c>
      <c r="D31" t="s">
        <v>2912</v>
      </c>
      <c r="E31" t="s">
        <v>368</v>
      </c>
      <c r="F31" t="s">
        <v>32</v>
      </c>
      <c r="G31" t="s">
        <v>783</v>
      </c>
      <c r="J31" t="s">
        <v>34</v>
      </c>
      <c r="M31" s="256">
        <v>45056</v>
      </c>
      <c r="N31" s="216"/>
      <c r="P31" t="s">
        <v>177</v>
      </c>
      <c r="Q31" t="s">
        <v>495</v>
      </c>
      <c r="R31" t="s">
        <v>542</v>
      </c>
      <c r="S31" t="s">
        <v>59</v>
      </c>
      <c r="V31" t="s">
        <v>86</v>
      </c>
      <c r="W31" t="s">
        <v>424</v>
      </c>
      <c r="X31" s="303" t="s">
        <v>543</v>
      </c>
      <c r="AC31" t="s">
        <v>2975</v>
      </c>
    </row>
    <row r="32" spans="1:29">
      <c r="A32" t="s">
        <v>490</v>
      </c>
      <c r="B32" t="s">
        <v>544</v>
      </c>
      <c r="C32" t="s">
        <v>2939</v>
      </c>
      <c r="D32" t="s">
        <v>2912</v>
      </c>
      <c r="E32" t="s">
        <v>368</v>
      </c>
      <c r="F32" t="s">
        <v>32</v>
      </c>
      <c r="G32" t="s">
        <v>2976</v>
      </c>
      <c r="J32" t="s">
        <v>34</v>
      </c>
      <c r="M32" s="256">
        <v>45056</v>
      </c>
      <c r="N32" s="216"/>
      <c r="P32" t="s">
        <v>177</v>
      </c>
      <c r="Q32" t="s">
        <v>495</v>
      </c>
      <c r="R32" t="s">
        <v>548</v>
      </c>
      <c r="S32" t="s">
        <v>272</v>
      </c>
      <c r="U32" t="s">
        <v>468</v>
      </c>
      <c r="V32" t="s">
        <v>86</v>
      </c>
      <c r="W32" t="s">
        <v>424</v>
      </c>
      <c r="X32" s="303" t="s">
        <v>549</v>
      </c>
      <c r="AC32" t="s">
        <v>2977</v>
      </c>
    </row>
    <row r="33" spans="1:29">
      <c r="A33" t="s">
        <v>490</v>
      </c>
      <c r="B33" t="s">
        <v>550</v>
      </c>
      <c r="C33" t="s">
        <v>2939</v>
      </c>
      <c r="D33" t="s">
        <v>2912</v>
      </c>
      <c r="E33" t="s">
        <v>368</v>
      </c>
      <c r="F33" t="s">
        <v>32</v>
      </c>
      <c r="G33" t="s">
        <v>552</v>
      </c>
      <c r="J33" t="s">
        <v>34</v>
      </c>
      <c r="M33" s="256">
        <v>45056</v>
      </c>
      <c r="N33" s="216"/>
      <c r="P33" t="s">
        <v>177</v>
      </c>
      <c r="Q33" t="s">
        <v>495</v>
      </c>
      <c r="R33" t="s">
        <v>554</v>
      </c>
      <c r="S33" t="s">
        <v>59</v>
      </c>
      <c r="T33" t="s">
        <v>2935</v>
      </c>
      <c r="V33" t="s">
        <v>86</v>
      </c>
      <c r="W33" t="s">
        <v>424</v>
      </c>
      <c r="X33" s="303" t="s">
        <v>556</v>
      </c>
      <c r="AC33" t="s">
        <v>2978</v>
      </c>
    </row>
    <row r="34" spans="1:29">
      <c r="A34" t="s">
        <v>490</v>
      </c>
      <c r="B34" t="s">
        <v>557</v>
      </c>
      <c r="C34" t="s">
        <v>2939</v>
      </c>
      <c r="D34" t="s">
        <v>2912</v>
      </c>
      <c r="E34" t="s">
        <v>368</v>
      </c>
      <c r="F34" t="s">
        <v>32</v>
      </c>
      <c r="G34" t="s">
        <v>2979</v>
      </c>
      <c r="J34" t="s">
        <v>34</v>
      </c>
      <c r="M34" s="256">
        <v>45056</v>
      </c>
      <c r="N34" s="216"/>
      <c r="P34" t="s">
        <v>177</v>
      </c>
      <c r="Q34" t="s">
        <v>495</v>
      </c>
      <c r="R34" t="s">
        <v>561</v>
      </c>
      <c r="S34" t="s">
        <v>59</v>
      </c>
      <c r="U34" t="s">
        <v>563</v>
      </c>
      <c r="V34" t="s">
        <v>86</v>
      </c>
      <c r="W34" t="s">
        <v>424</v>
      </c>
      <c r="X34" s="303" t="s">
        <v>564</v>
      </c>
      <c r="AC34" s="217" t="s">
        <v>2980</v>
      </c>
    </row>
    <row r="35" spans="1:29">
      <c r="A35" t="s">
        <v>490</v>
      </c>
      <c r="B35" t="s">
        <v>565</v>
      </c>
      <c r="C35" t="s">
        <v>2939</v>
      </c>
      <c r="D35" t="s">
        <v>2912</v>
      </c>
      <c r="E35" t="s">
        <v>368</v>
      </c>
      <c r="F35" t="s">
        <v>32</v>
      </c>
      <c r="G35" t="s">
        <v>785</v>
      </c>
      <c r="J35" t="s">
        <v>34</v>
      </c>
      <c r="M35" s="256">
        <v>45056</v>
      </c>
      <c r="N35" s="216"/>
      <c r="P35" t="s">
        <v>177</v>
      </c>
      <c r="Q35" t="s">
        <v>495</v>
      </c>
      <c r="R35" t="s">
        <v>568</v>
      </c>
      <c r="S35" t="s">
        <v>59</v>
      </c>
      <c r="U35" t="s">
        <v>569</v>
      </c>
      <c r="V35" t="s">
        <v>86</v>
      </c>
      <c r="W35" t="s">
        <v>424</v>
      </c>
      <c r="X35" s="303" t="s">
        <v>570</v>
      </c>
      <c r="AC35" t="s">
        <v>2981</v>
      </c>
    </row>
    <row r="36" spans="1:29">
      <c r="A36" t="s">
        <v>490</v>
      </c>
      <c r="B36" t="s">
        <v>571</v>
      </c>
      <c r="C36" t="s">
        <v>2939</v>
      </c>
      <c r="D36" t="s">
        <v>2912</v>
      </c>
      <c r="E36" t="s">
        <v>368</v>
      </c>
      <c r="F36" t="s">
        <v>32</v>
      </c>
      <c r="G36" t="s">
        <v>475</v>
      </c>
      <c r="J36" t="s">
        <v>34</v>
      </c>
      <c r="M36" s="256">
        <v>45056</v>
      </c>
      <c r="N36" s="216"/>
      <c r="P36" t="s">
        <v>177</v>
      </c>
      <c r="Q36" t="s">
        <v>495</v>
      </c>
      <c r="R36" t="s">
        <v>574</v>
      </c>
      <c r="S36" t="s">
        <v>59</v>
      </c>
      <c r="U36" t="s">
        <v>575</v>
      </c>
      <c r="V36" t="s">
        <v>86</v>
      </c>
      <c r="W36" t="s">
        <v>424</v>
      </c>
      <c r="X36" s="303" t="s">
        <v>576</v>
      </c>
      <c r="AC36" t="s">
        <v>2982</v>
      </c>
    </row>
    <row r="37" spans="1:29">
      <c r="A37" t="s">
        <v>490</v>
      </c>
      <c r="B37" t="s">
        <v>577</v>
      </c>
      <c r="C37" t="s">
        <v>2939</v>
      </c>
      <c r="D37" t="s">
        <v>2912</v>
      </c>
      <c r="E37" t="s">
        <v>368</v>
      </c>
      <c r="F37" t="s">
        <v>32</v>
      </c>
      <c r="G37" t="s">
        <v>786</v>
      </c>
      <c r="J37" t="s">
        <v>34</v>
      </c>
      <c r="M37" s="256">
        <v>45056</v>
      </c>
      <c r="N37" s="216"/>
      <c r="P37" t="s">
        <v>177</v>
      </c>
      <c r="Q37" t="s">
        <v>495</v>
      </c>
      <c r="R37" t="s">
        <v>580</v>
      </c>
      <c r="S37" t="s">
        <v>59</v>
      </c>
      <c r="U37" t="s">
        <v>581</v>
      </c>
      <c r="V37" t="s">
        <v>86</v>
      </c>
      <c r="W37" t="s">
        <v>424</v>
      </c>
      <c r="X37" s="303" t="s">
        <v>582</v>
      </c>
      <c r="AC37" t="s">
        <v>2983</v>
      </c>
    </row>
    <row r="38" spans="1:29">
      <c r="A38" t="s">
        <v>490</v>
      </c>
      <c r="B38" t="s">
        <v>583</v>
      </c>
      <c r="C38" t="s">
        <v>2939</v>
      </c>
      <c r="D38" t="s">
        <v>2912</v>
      </c>
      <c r="E38" t="s">
        <v>368</v>
      </c>
      <c r="F38" t="s">
        <v>32</v>
      </c>
      <c r="G38" t="s">
        <v>287</v>
      </c>
      <c r="J38" t="s">
        <v>34</v>
      </c>
      <c r="M38" s="256">
        <v>45056</v>
      </c>
      <c r="N38" s="216"/>
      <c r="P38" t="s">
        <v>177</v>
      </c>
      <c r="Q38" t="s">
        <v>495</v>
      </c>
      <c r="R38" t="s">
        <v>586</v>
      </c>
      <c r="S38" t="s">
        <v>59</v>
      </c>
      <c r="U38" t="s">
        <v>587</v>
      </c>
      <c r="V38" t="s">
        <v>86</v>
      </c>
      <c r="W38" t="s">
        <v>424</v>
      </c>
      <c r="X38" s="303" t="s">
        <v>588</v>
      </c>
      <c r="AC38" t="s">
        <v>2984</v>
      </c>
    </row>
    <row r="39" spans="1:29">
      <c r="A39" t="s">
        <v>490</v>
      </c>
      <c r="B39" t="s">
        <v>589</v>
      </c>
      <c r="C39" t="s">
        <v>2939</v>
      </c>
      <c r="D39" t="s">
        <v>2912</v>
      </c>
      <c r="E39" t="s">
        <v>368</v>
      </c>
      <c r="F39" t="s">
        <v>32</v>
      </c>
      <c r="G39" t="s">
        <v>590</v>
      </c>
      <c r="J39" t="s">
        <v>34</v>
      </c>
      <c r="M39" s="256">
        <v>45056</v>
      </c>
      <c r="N39" s="216"/>
      <c r="P39" t="s">
        <v>177</v>
      </c>
      <c r="Q39" t="s">
        <v>495</v>
      </c>
      <c r="R39" t="s">
        <v>592</v>
      </c>
      <c r="S39" t="s">
        <v>272</v>
      </c>
      <c r="U39" t="s">
        <v>593</v>
      </c>
      <c r="V39" t="s">
        <v>86</v>
      </c>
      <c r="W39" t="s">
        <v>424</v>
      </c>
      <c r="X39" s="303" t="s">
        <v>594</v>
      </c>
      <c r="AC39" t="s">
        <v>2985</v>
      </c>
    </row>
    <row r="40" spans="1:29">
      <c r="A40" t="s">
        <v>490</v>
      </c>
      <c r="B40" t="s">
        <v>595</v>
      </c>
      <c r="C40" t="s">
        <v>2939</v>
      </c>
      <c r="D40" t="s">
        <v>2912</v>
      </c>
      <c r="E40" t="s">
        <v>368</v>
      </c>
      <c r="F40" t="s">
        <v>32</v>
      </c>
      <c r="G40" t="s">
        <v>294</v>
      </c>
      <c r="J40" t="s">
        <v>34</v>
      </c>
      <c r="M40" s="256">
        <v>45056</v>
      </c>
      <c r="N40" s="216"/>
      <c r="P40" t="s">
        <v>177</v>
      </c>
      <c r="Q40" t="s">
        <v>495</v>
      </c>
      <c r="R40" t="s">
        <v>599</v>
      </c>
      <c r="S40" t="s">
        <v>59</v>
      </c>
      <c r="U40" t="s">
        <v>601</v>
      </c>
      <c r="V40" t="s">
        <v>86</v>
      </c>
      <c r="W40" t="s">
        <v>424</v>
      </c>
      <c r="X40" s="303" t="s">
        <v>602</v>
      </c>
      <c r="AC40" t="s">
        <v>2986</v>
      </c>
    </row>
    <row r="41" spans="1:29">
      <c r="A41" t="s">
        <v>490</v>
      </c>
      <c r="B41" t="s">
        <v>603</v>
      </c>
      <c r="C41" t="s">
        <v>2939</v>
      </c>
      <c r="D41" t="s">
        <v>2912</v>
      </c>
      <c r="E41" t="s">
        <v>368</v>
      </c>
      <c r="F41" t="s">
        <v>32</v>
      </c>
      <c r="G41" t="s">
        <v>605</v>
      </c>
      <c r="J41" t="s">
        <v>34</v>
      </c>
      <c r="M41" s="256">
        <v>45056</v>
      </c>
      <c r="N41" s="216"/>
      <c r="P41" t="s">
        <v>177</v>
      </c>
      <c r="Q41" t="s">
        <v>495</v>
      </c>
      <c r="R41" t="s">
        <v>607</v>
      </c>
      <c r="S41" t="s">
        <v>59</v>
      </c>
      <c r="U41" t="s">
        <v>555</v>
      </c>
      <c r="V41" t="s">
        <v>86</v>
      </c>
      <c r="W41" t="s">
        <v>424</v>
      </c>
      <c r="X41" s="303" t="s">
        <v>608</v>
      </c>
      <c r="AC41" t="s">
        <v>2987</v>
      </c>
    </row>
    <row r="42" spans="1:29">
      <c r="A42" t="s">
        <v>490</v>
      </c>
      <c r="B42" t="s">
        <v>609</v>
      </c>
      <c r="C42" t="s">
        <v>2939</v>
      </c>
      <c r="D42" t="s">
        <v>2912</v>
      </c>
      <c r="E42" t="s">
        <v>368</v>
      </c>
      <c r="F42" t="s">
        <v>32</v>
      </c>
      <c r="G42" t="s">
        <v>2988</v>
      </c>
      <c r="J42" t="s">
        <v>34</v>
      </c>
      <c r="M42" s="256">
        <v>45056</v>
      </c>
      <c r="N42" s="216"/>
      <c r="P42" t="s">
        <v>177</v>
      </c>
      <c r="Q42" t="s">
        <v>495</v>
      </c>
      <c r="R42" t="s">
        <v>612</v>
      </c>
      <c r="S42" t="s">
        <v>59</v>
      </c>
      <c r="U42" t="s">
        <v>614</v>
      </c>
      <c r="V42" t="s">
        <v>86</v>
      </c>
      <c r="W42" t="s">
        <v>424</v>
      </c>
      <c r="X42" s="303" t="s">
        <v>615</v>
      </c>
      <c r="AC42" t="s">
        <v>2989</v>
      </c>
    </row>
    <row r="43" spans="1:29">
      <c r="A43" t="s">
        <v>490</v>
      </c>
      <c r="B43" t="s">
        <v>616</v>
      </c>
      <c r="C43" t="s">
        <v>2939</v>
      </c>
      <c r="D43" t="s">
        <v>2912</v>
      </c>
      <c r="E43" t="s">
        <v>368</v>
      </c>
      <c r="F43" t="s">
        <v>32</v>
      </c>
      <c r="G43" t="s">
        <v>658</v>
      </c>
      <c r="J43" t="s">
        <v>34</v>
      </c>
      <c r="M43" s="256">
        <v>45056</v>
      </c>
      <c r="N43" s="216"/>
      <c r="P43" t="s">
        <v>177</v>
      </c>
      <c r="Q43" t="s">
        <v>495</v>
      </c>
      <c r="R43" t="s">
        <v>620</v>
      </c>
      <c r="S43" t="s">
        <v>59</v>
      </c>
      <c r="V43" t="s">
        <v>86</v>
      </c>
      <c r="W43" t="s">
        <v>424</v>
      </c>
      <c r="X43" s="303" t="s">
        <v>621</v>
      </c>
      <c r="AC43" t="s">
        <v>2990</v>
      </c>
    </row>
    <row r="44" spans="1:29">
      <c r="A44" t="s">
        <v>490</v>
      </c>
      <c r="B44" t="s">
        <v>622</v>
      </c>
      <c r="C44" t="s">
        <v>2939</v>
      </c>
      <c r="D44" t="s">
        <v>2912</v>
      </c>
      <c r="E44" t="s">
        <v>368</v>
      </c>
      <c r="F44" t="s">
        <v>32</v>
      </c>
      <c r="G44" t="s">
        <v>77</v>
      </c>
      <c r="J44" t="s">
        <v>34</v>
      </c>
      <c r="M44" s="256">
        <v>45056</v>
      </c>
      <c r="N44" s="216"/>
      <c r="P44" t="s">
        <v>177</v>
      </c>
      <c r="Q44" t="s">
        <v>495</v>
      </c>
      <c r="R44" t="s">
        <v>626</v>
      </c>
      <c r="S44" t="s">
        <v>59</v>
      </c>
      <c r="U44" t="s">
        <v>627</v>
      </c>
      <c r="V44" t="s">
        <v>86</v>
      </c>
      <c r="W44" t="s">
        <v>424</v>
      </c>
      <c r="X44" s="303" t="s">
        <v>628</v>
      </c>
      <c r="AC44" t="s">
        <v>2991</v>
      </c>
    </row>
    <row r="45" spans="1:29">
      <c r="A45" t="s">
        <v>490</v>
      </c>
      <c r="B45" t="s">
        <v>629</v>
      </c>
      <c r="C45" t="s">
        <v>2944</v>
      </c>
      <c r="D45" t="s">
        <v>2912</v>
      </c>
      <c r="E45" t="s">
        <v>2992</v>
      </c>
      <c r="F45" t="s">
        <v>32</v>
      </c>
      <c r="G45" t="s">
        <v>2993</v>
      </c>
      <c r="H45">
        <v>260004</v>
      </c>
      <c r="J45" t="s">
        <v>34</v>
      </c>
      <c r="M45" s="256">
        <v>45502</v>
      </c>
      <c r="N45" s="216">
        <v>46287.666666666701</v>
      </c>
      <c r="P45" t="s">
        <v>177</v>
      </c>
      <c r="Q45" t="s">
        <v>634</v>
      </c>
      <c r="R45" t="s">
        <v>635</v>
      </c>
      <c r="S45" t="s">
        <v>272</v>
      </c>
      <c r="U45" t="s">
        <v>197</v>
      </c>
      <c r="V45" t="s">
        <v>86</v>
      </c>
      <c r="W45" t="s">
        <v>424</v>
      </c>
      <c r="X45" s="303" t="s">
        <v>637</v>
      </c>
      <c r="AC45" t="s">
        <v>2994</v>
      </c>
    </row>
    <row r="46" spans="1:29">
      <c r="A46" t="s">
        <v>490</v>
      </c>
      <c r="B46" t="s">
        <v>638</v>
      </c>
      <c r="C46" t="s">
        <v>2944</v>
      </c>
      <c r="D46" t="s">
        <v>2912</v>
      </c>
      <c r="F46" t="s">
        <v>32</v>
      </c>
      <c r="G46" t="s">
        <v>639</v>
      </c>
      <c r="J46" t="s">
        <v>34</v>
      </c>
      <c r="M46" s="256">
        <v>45502</v>
      </c>
      <c r="N46" s="216"/>
      <c r="P46" t="s">
        <v>177</v>
      </c>
      <c r="Q46" t="s">
        <v>640</v>
      </c>
      <c r="S46" t="s">
        <v>272</v>
      </c>
      <c r="V46" t="s">
        <v>642</v>
      </c>
      <c r="W46" t="s">
        <v>424</v>
      </c>
      <c r="AC46" t="s">
        <v>2995</v>
      </c>
    </row>
    <row r="47" spans="1:29">
      <c r="A47" t="s">
        <v>490</v>
      </c>
      <c r="B47" t="s">
        <v>643</v>
      </c>
      <c r="C47" t="s">
        <v>2944</v>
      </c>
      <c r="D47" t="s">
        <v>2912</v>
      </c>
      <c r="F47" t="s">
        <v>32</v>
      </c>
      <c r="G47" t="s">
        <v>186</v>
      </c>
      <c r="J47" t="s">
        <v>34</v>
      </c>
      <c r="M47" s="256">
        <v>45502</v>
      </c>
      <c r="N47" s="216"/>
      <c r="P47" t="s">
        <v>177</v>
      </c>
      <c r="Q47" t="s">
        <v>640</v>
      </c>
      <c r="R47" t="s">
        <v>645</v>
      </c>
      <c r="S47" t="s">
        <v>272</v>
      </c>
      <c r="U47" t="s">
        <v>647</v>
      </c>
      <c r="V47" t="s">
        <v>642</v>
      </c>
      <c r="W47" t="s">
        <v>424</v>
      </c>
      <c r="X47" s="303" t="s">
        <v>648</v>
      </c>
      <c r="AC47" t="s">
        <v>2996</v>
      </c>
    </row>
    <row r="48" spans="1:29">
      <c r="A48" t="s">
        <v>490</v>
      </c>
      <c r="B48" t="s">
        <v>649</v>
      </c>
      <c r="C48" t="s">
        <v>2932</v>
      </c>
      <c r="D48" t="s">
        <v>2912</v>
      </c>
      <c r="F48" t="s">
        <v>32</v>
      </c>
      <c r="G48" t="s">
        <v>566</v>
      </c>
      <c r="H48">
        <v>220001</v>
      </c>
      <c r="I48" t="s">
        <v>652</v>
      </c>
      <c r="J48" t="s">
        <v>34</v>
      </c>
      <c r="K48" t="s">
        <v>1230</v>
      </c>
      <c r="L48" t="s">
        <v>2997</v>
      </c>
      <c r="M48" s="256">
        <v>45502</v>
      </c>
      <c r="N48" s="216">
        <v>46160.666666666701</v>
      </c>
      <c r="P48" t="s">
        <v>177</v>
      </c>
      <c r="Q48" t="s">
        <v>634</v>
      </c>
      <c r="R48" t="s">
        <v>654</v>
      </c>
      <c r="S48" t="s">
        <v>272</v>
      </c>
      <c r="T48" t="s">
        <v>2949</v>
      </c>
      <c r="U48" t="s">
        <v>655</v>
      </c>
      <c r="V48" t="s">
        <v>642</v>
      </c>
      <c r="W48" t="s">
        <v>424</v>
      </c>
      <c r="X48" s="303" t="s">
        <v>656</v>
      </c>
      <c r="AC48" t="s">
        <v>2998</v>
      </c>
    </row>
    <row r="49" spans="1:29">
      <c r="A49" t="s">
        <v>490</v>
      </c>
      <c r="B49" t="s">
        <v>657</v>
      </c>
      <c r="C49" t="s">
        <v>2944</v>
      </c>
      <c r="D49" t="s">
        <v>2912</v>
      </c>
      <c r="E49" t="s">
        <v>2999</v>
      </c>
      <c r="F49" t="s">
        <v>32</v>
      </c>
      <c r="G49" t="s">
        <v>3000</v>
      </c>
      <c r="H49">
        <v>240005</v>
      </c>
      <c r="J49" t="s">
        <v>34</v>
      </c>
      <c r="K49" t="s">
        <v>3001</v>
      </c>
      <c r="L49" t="s">
        <v>3002</v>
      </c>
      <c r="M49" s="256">
        <v>45502</v>
      </c>
      <c r="N49" s="216">
        <v>46167.666666666701</v>
      </c>
      <c r="P49" t="s">
        <v>177</v>
      </c>
      <c r="Q49" t="s">
        <v>634</v>
      </c>
      <c r="R49" t="s">
        <v>660</v>
      </c>
      <c r="S49" t="s">
        <v>272</v>
      </c>
      <c r="U49" t="s">
        <v>662</v>
      </c>
      <c r="W49" t="s">
        <v>424</v>
      </c>
      <c r="X49" s="303" t="s">
        <v>663</v>
      </c>
      <c r="AC49" t="s">
        <v>3003</v>
      </c>
    </row>
    <row r="50" spans="1:29">
      <c r="A50" t="s">
        <v>490</v>
      </c>
      <c r="B50" t="s">
        <v>664</v>
      </c>
      <c r="C50" t="s">
        <v>2944</v>
      </c>
      <c r="D50" t="s">
        <v>2912</v>
      </c>
      <c r="F50" t="s">
        <v>32</v>
      </c>
      <c r="G50" t="s">
        <v>665</v>
      </c>
      <c r="J50" t="s">
        <v>34</v>
      </c>
      <c r="M50" s="256">
        <v>45502</v>
      </c>
      <c r="N50" s="216"/>
      <c r="P50" t="s">
        <v>177</v>
      </c>
      <c r="Q50" t="s">
        <v>634</v>
      </c>
      <c r="R50" t="s">
        <v>667</v>
      </c>
      <c r="S50" t="s">
        <v>272</v>
      </c>
      <c r="U50" t="s">
        <v>668</v>
      </c>
      <c r="V50" t="s">
        <v>86</v>
      </c>
      <c r="W50" t="s">
        <v>424</v>
      </c>
      <c r="X50" s="303" t="s">
        <v>669</v>
      </c>
      <c r="AC50" t="s">
        <v>3004</v>
      </c>
    </row>
    <row r="51" spans="1:29">
      <c r="A51" t="s">
        <v>490</v>
      </c>
      <c r="B51" t="s">
        <v>670</v>
      </c>
      <c r="C51" t="s">
        <v>2944</v>
      </c>
      <c r="D51" t="s">
        <v>2912</v>
      </c>
      <c r="F51" t="s">
        <v>32</v>
      </c>
      <c r="G51" t="s">
        <v>671</v>
      </c>
      <c r="J51" t="s">
        <v>34</v>
      </c>
      <c r="M51" s="256">
        <v>45502</v>
      </c>
      <c r="N51" s="216"/>
      <c r="P51" t="s">
        <v>177</v>
      </c>
      <c r="Q51" t="s">
        <v>634</v>
      </c>
      <c r="R51" t="s">
        <v>672</v>
      </c>
      <c r="S51" t="s">
        <v>272</v>
      </c>
      <c r="V51" t="s">
        <v>86</v>
      </c>
      <c r="W51" t="s">
        <v>424</v>
      </c>
      <c r="X51" s="303" t="s">
        <v>673</v>
      </c>
      <c r="AC51" t="s">
        <v>3005</v>
      </c>
    </row>
    <row r="52" spans="1:29">
      <c r="A52" t="s">
        <v>490</v>
      </c>
      <c r="B52" t="s">
        <v>674</v>
      </c>
      <c r="C52" t="s">
        <v>2944</v>
      </c>
      <c r="D52" t="s">
        <v>2912</v>
      </c>
      <c r="F52" t="s">
        <v>32</v>
      </c>
      <c r="G52" t="s">
        <v>3006</v>
      </c>
      <c r="H52">
        <v>240007</v>
      </c>
      <c r="J52" t="s">
        <v>34</v>
      </c>
      <c r="K52" t="s">
        <v>3007</v>
      </c>
      <c r="L52" t="s">
        <v>3008</v>
      </c>
      <c r="M52" s="256">
        <v>45643</v>
      </c>
      <c r="N52" s="216">
        <v>46167.666666666701</v>
      </c>
      <c r="P52" t="s">
        <v>177</v>
      </c>
      <c r="Q52" t="s">
        <v>634</v>
      </c>
      <c r="R52" t="s">
        <v>677</v>
      </c>
      <c r="S52" t="s">
        <v>272</v>
      </c>
      <c r="U52" t="s">
        <v>678</v>
      </c>
      <c r="V52" t="s">
        <v>86</v>
      </c>
      <c r="W52" t="s">
        <v>424</v>
      </c>
      <c r="X52" s="303" t="s">
        <v>679</v>
      </c>
      <c r="AC52" t="s">
        <v>3009</v>
      </c>
    </row>
    <row r="53" spans="1:29">
      <c r="A53" t="s">
        <v>490</v>
      </c>
      <c r="B53" t="s">
        <v>680</v>
      </c>
      <c r="C53" t="s">
        <v>2944</v>
      </c>
      <c r="D53" t="s">
        <v>2912</v>
      </c>
      <c r="F53" t="s">
        <v>32</v>
      </c>
      <c r="G53" t="s">
        <v>3010</v>
      </c>
      <c r="H53">
        <v>230011</v>
      </c>
      <c r="J53" t="s">
        <v>34</v>
      </c>
      <c r="K53" t="s">
        <v>53</v>
      </c>
      <c r="L53" t="s">
        <v>3011</v>
      </c>
      <c r="M53" s="256">
        <v>45643</v>
      </c>
      <c r="N53" s="216">
        <v>46167.666666666701</v>
      </c>
      <c r="P53" t="s">
        <v>177</v>
      </c>
      <c r="Q53" t="s">
        <v>634</v>
      </c>
      <c r="R53" t="s">
        <v>684</v>
      </c>
      <c r="S53" t="s">
        <v>272</v>
      </c>
      <c r="T53" t="s">
        <v>2935</v>
      </c>
      <c r="V53" t="s">
        <v>86</v>
      </c>
      <c r="W53" t="s">
        <v>424</v>
      </c>
      <c r="X53" s="303" t="s">
        <v>686</v>
      </c>
      <c r="AC53" t="s">
        <v>3012</v>
      </c>
    </row>
    <row r="54" spans="1:29">
      <c r="A54" t="s">
        <v>490</v>
      </c>
      <c r="B54" t="s">
        <v>687</v>
      </c>
      <c r="C54" t="s">
        <v>2944</v>
      </c>
      <c r="D54" t="s">
        <v>2912</v>
      </c>
      <c r="F54" t="s">
        <v>32</v>
      </c>
      <c r="G54" t="s">
        <v>395</v>
      </c>
      <c r="H54">
        <v>210034</v>
      </c>
      <c r="J54" t="s">
        <v>34</v>
      </c>
      <c r="K54" t="s">
        <v>2629</v>
      </c>
      <c r="L54" t="s">
        <v>3013</v>
      </c>
      <c r="M54" s="256">
        <v>45994</v>
      </c>
      <c r="N54" s="216">
        <v>46139.666666666701</v>
      </c>
      <c r="P54" t="s">
        <v>177</v>
      </c>
      <c r="Q54" t="s">
        <v>690</v>
      </c>
      <c r="R54" t="s">
        <v>691</v>
      </c>
      <c r="S54" t="s">
        <v>272</v>
      </c>
      <c r="T54" t="s">
        <v>2935</v>
      </c>
      <c r="V54" t="s">
        <v>423</v>
      </c>
      <c r="W54" t="s">
        <v>424</v>
      </c>
      <c r="AC54" t="s">
        <v>3014</v>
      </c>
    </row>
    <row r="55" spans="1:29">
      <c r="A55" t="s">
        <v>490</v>
      </c>
      <c r="B55" t="s">
        <v>693</v>
      </c>
      <c r="C55" t="s">
        <v>2944</v>
      </c>
      <c r="D55" t="s">
        <v>2912</v>
      </c>
      <c r="F55" t="s">
        <v>32</v>
      </c>
      <c r="G55" t="s">
        <v>3015</v>
      </c>
      <c r="J55" t="s">
        <v>34</v>
      </c>
      <c r="M55" s="256">
        <v>45994</v>
      </c>
      <c r="N55" s="216"/>
      <c r="P55" t="s">
        <v>177</v>
      </c>
      <c r="Q55" t="s">
        <v>690</v>
      </c>
      <c r="R55" t="s">
        <v>695</v>
      </c>
      <c r="S55" t="s">
        <v>272</v>
      </c>
      <c r="T55" t="s">
        <v>2935</v>
      </c>
      <c r="V55" t="s">
        <v>423</v>
      </c>
      <c r="W55" t="s">
        <v>424</v>
      </c>
      <c r="AC55" t="s">
        <v>3016</v>
      </c>
    </row>
    <row r="56" spans="1:29">
      <c r="A56" t="s">
        <v>490</v>
      </c>
      <c r="B56" t="s">
        <v>696</v>
      </c>
      <c r="C56" t="s">
        <v>2944</v>
      </c>
      <c r="D56" t="s">
        <v>2912</v>
      </c>
      <c r="F56" t="s">
        <v>32</v>
      </c>
      <c r="G56" t="s">
        <v>521</v>
      </c>
      <c r="H56">
        <v>230034</v>
      </c>
      <c r="I56" t="s">
        <v>697</v>
      </c>
      <c r="J56" t="s">
        <v>34</v>
      </c>
      <c r="K56" t="s">
        <v>3017</v>
      </c>
      <c r="L56" t="s">
        <v>3018</v>
      </c>
      <c r="M56" s="256">
        <v>45994</v>
      </c>
      <c r="N56" s="216">
        <v>46155.666666666701</v>
      </c>
      <c r="P56" t="s">
        <v>177</v>
      </c>
      <c r="Q56" t="s">
        <v>690</v>
      </c>
      <c r="R56" t="s">
        <v>698</v>
      </c>
      <c r="S56" t="s">
        <v>272</v>
      </c>
      <c r="U56" t="s">
        <v>699</v>
      </c>
      <c r="V56" t="s">
        <v>423</v>
      </c>
      <c r="W56" t="s">
        <v>424</v>
      </c>
      <c r="AC56" t="s">
        <v>3019</v>
      </c>
    </row>
    <row r="57" spans="1:29">
      <c r="A57" t="s">
        <v>490</v>
      </c>
      <c r="B57" t="s">
        <v>700</v>
      </c>
      <c r="C57" t="s">
        <v>2944</v>
      </c>
      <c r="D57" t="s">
        <v>2912</v>
      </c>
      <c r="F57" t="s">
        <v>32</v>
      </c>
      <c r="G57" t="s">
        <v>3020</v>
      </c>
      <c r="H57">
        <v>200017</v>
      </c>
      <c r="J57" t="s">
        <v>34</v>
      </c>
      <c r="K57" t="s">
        <v>53</v>
      </c>
      <c r="L57" t="s">
        <v>3021</v>
      </c>
      <c r="M57" s="256">
        <v>45994</v>
      </c>
      <c r="N57" s="216">
        <v>46156.666666666701</v>
      </c>
      <c r="P57" t="s">
        <v>177</v>
      </c>
      <c r="Q57" t="s">
        <v>690</v>
      </c>
      <c r="R57" t="s">
        <v>701</v>
      </c>
      <c r="S57" t="s">
        <v>272</v>
      </c>
      <c r="T57" t="s">
        <v>2935</v>
      </c>
      <c r="V57" t="s">
        <v>423</v>
      </c>
      <c r="W57" t="s">
        <v>424</v>
      </c>
      <c r="X57" s="303">
        <v>1916931513</v>
      </c>
      <c r="AC57" t="s">
        <v>3022</v>
      </c>
    </row>
    <row r="58" spans="1:29">
      <c r="A58" t="s">
        <v>490</v>
      </c>
      <c r="B58" t="s">
        <v>702</v>
      </c>
      <c r="C58" t="s">
        <v>2944</v>
      </c>
      <c r="D58" t="s">
        <v>2912</v>
      </c>
      <c r="F58" t="s">
        <v>32</v>
      </c>
      <c r="G58" t="s">
        <v>3023</v>
      </c>
      <c r="J58" t="s">
        <v>34</v>
      </c>
      <c r="M58" s="256">
        <v>45994</v>
      </c>
      <c r="N58" s="216"/>
      <c r="P58" t="s">
        <v>177</v>
      </c>
      <c r="Q58" t="s">
        <v>690</v>
      </c>
      <c r="R58" t="s">
        <v>706</v>
      </c>
      <c r="S58" t="s">
        <v>272</v>
      </c>
      <c r="T58" t="s">
        <v>2935</v>
      </c>
      <c r="V58" t="s">
        <v>423</v>
      </c>
      <c r="W58" t="s">
        <v>424</v>
      </c>
      <c r="X58" s="303" t="s">
        <v>707</v>
      </c>
      <c r="AC58" t="s">
        <v>3024</v>
      </c>
    </row>
    <row r="59" spans="1:29">
      <c r="A59" t="s">
        <v>490</v>
      </c>
      <c r="B59" t="s">
        <v>708</v>
      </c>
      <c r="C59" t="s">
        <v>2944</v>
      </c>
      <c r="D59" t="s">
        <v>2912</v>
      </c>
      <c r="F59" t="s">
        <v>32</v>
      </c>
      <c r="G59" t="s">
        <v>362</v>
      </c>
      <c r="H59">
        <v>999933</v>
      </c>
      <c r="J59" t="s">
        <v>34</v>
      </c>
      <c r="K59" t="s">
        <v>2629</v>
      </c>
      <c r="L59" t="s">
        <v>3025</v>
      </c>
      <c r="M59" s="256">
        <v>45994</v>
      </c>
      <c r="N59" s="216">
        <v>46190.666666666701</v>
      </c>
      <c r="P59" t="s">
        <v>177</v>
      </c>
      <c r="Q59" t="s">
        <v>690</v>
      </c>
      <c r="R59" t="s">
        <v>711</v>
      </c>
      <c r="S59" t="s">
        <v>272</v>
      </c>
      <c r="T59" t="s">
        <v>2935</v>
      </c>
      <c r="V59" t="s">
        <v>423</v>
      </c>
      <c r="W59" t="s">
        <v>424</v>
      </c>
      <c r="X59" s="303">
        <v>1537922772</v>
      </c>
      <c r="AC59" t="s">
        <v>3026</v>
      </c>
    </row>
    <row r="60" spans="1:29">
      <c r="A60" t="s">
        <v>490</v>
      </c>
      <c r="B60" t="s">
        <v>712</v>
      </c>
      <c r="C60" t="s">
        <v>2944</v>
      </c>
      <c r="D60" t="s">
        <v>2912</v>
      </c>
      <c r="F60" t="s">
        <v>32</v>
      </c>
      <c r="G60" t="s">
        <v>3027</v>
      </c>
      <c r="H60">
        <v>190116</v>
      </c>
      <c r="J60" t="s">
        <v>34</v>
      </c>
      <c r="K60" t="s">
        <v>3028</v>
      </c>
      <c r="L60" t="s">
        <v>3002</v>
      </c>
      <c r="M60" s="256">
        <v>45994</v>
      </c>
      <c r="N60" s="216">
        <v>46162.666666666701</v>
      </c>
      <c r="P60" t="s">
        <v>177</v>
      </c>
      <c r="Q60" t="s">
        <v>690</v>
      </c>
      <c r="R60" t="s">
        <v>717</v>
      </c>
      <c r="S60" t="s">
        <v>272</v>
      </c>
      <c r="T60" t="s">
        <v>2935</v>
      </c>
      <c r="V60" t="s">
        <v>423</v>
      </c>
      <c r="W60" t="s">
        <v>424</v>
      </c>
      <c r="X60" s="303">
        <v>1249883685</v>
      </c>
      <c r="AC60" t="s">
        <v>3029</v>
      </c>
    </row>
    <row r="61" spans="1:29">
      <c r="A61" t="s">
        <v>490</v>
      </c>
      <c r="B61" t="s">
        <v>719</v>
      </c>
      <c r="C61" t="s">
        <v>2944</v>
      </c>
      <c r="D61" t="s">
        <v>2912</v>
      </c>
      <c r="F61" t="s">
        <v>32</v>
      </c>
      <c r="G61" t="s">
        <v>720</v>
      </c>
      <c r="J61" t="s">
        <v>34</v>
      </c>
      <c r="M61" s="256">
        <v>45994</v>
      </c>
      <c r="N61" s="216"/>
      <c r="P61" t="s">
        <v>177</v>
      </c>
      <c r="Q61" t="s">
        <v>690</v>
      </c>
      <c r="R61" t="s">
        <v>723</v>
      </c>
      <c r="S61" t="s">
        <v>272</v>
      </c>
      <c r="T61" t="s">
        <v>2935</v>
      </c>
      <c r="V61" t="s">
        <v>423</v>
      </c>
      <c r="W61" t="s">
        <v>424</v>
      </c>
      <c r="X61" s="303">
        <v>1268395785</v>
      </c>
      <c r="AC61" t="s">
        <v>3030</v>
      </c>
    </row>
    <row r="62" spans="1:29">
      <c r="A62" t="s">
        <v>490</v>
      </c>
      <c r="B62" t="s">
        <v>724</v>
      </c>
      <c r="C62" t="s">
        <v>2944</v>
      </c>
      <c r="D62" t="s">
        <v>2912</v>
      </c>
      <c r="F62" t="s">
        <v>32</v>
      </c>
      <c r="G62" t="s">
        <v>725</v>
      </c>
      <c r="J62" t="s">
        <v>34</v>
      </c>
      <c r="M62" s="256">
        <v>45994</v>
      </c>
      <c r="N62" s="216"/>
      <c r="P62" t="s">
        <v>177</v>
      </c>
      <c r="Q62" t="s">
        <v>690</v>
      </c>
      <c r="R62" t="s">
        <v>728</v>
      </c>
      <c r="S62" t="s">
        <v>272</v>
      </c>
      <c r="T62" t="s">
        <v>2935</v>
      </c>
      <c r="V62" t="s">
        <v>423</v>
      </c>
      <c r="W62" t="s">
        <v>424</v>
      </c>
      <c r="X62" s="303">
        <v>682471671</v>
      </c>
      <c r="AC62" t="s">
        <v>3031</v>
      </c>
    </row>
    <row r="63" spans="1:29">
      <c r="A63" t="s">
        <v>490</v>
      </c>
      <c r="B63" t="s">
        <v>729</v>
      </c>
      <c r="C63" t="s">
        <v>2944</v>
      </c>
      <c r="D63" t="s">
        <v>2912</v>
      </c>
      <c r="F63" t="s">
        <v>32</v>
      </c>
      <c r="G63" t="s">
        <v>730</v>
      </c>
      <c r="J63" t="s">
        <v>34</v>
      </c>
      <c r="M63" s="256">
        <v>45994</v>
      </c>
      <c r="N63" s="216"/>
      <c r="P63" t="s">
        <v>177</v>
      </c>
      <c r="Q63" t="s">
        <v>690</v>
      </c>
      <c r="R63" t="s">
        <v>733</v>
      </c>
      <c r="S63" t="s">
        <v>272</v>
      </c>
      <c r="T63" t="s">
        <v>2935</v>
      </c>
      <c r="V63" t="s">
        <v>423</v>
      </c>
      <c r="W63" t="s">
        <v>424</v>
      </c>
      <c r="X63" s="303">
        <v>1925454363</v>
      </c>
      <c r="AC63" t="s">
        <v>3032</v>
      </c>
    </row>
    <row r="64" spans="1:29">
      <c r="A64" t="s">
        <v>490</v>
      </c>
      <c r="B64" t="s">
        <v>734</v>
      </c>
      <c r="C64" t="s">
        <v>2944</v>
      </c>
      <c r="D64" t="s">
        <v>2912</v>
      </c>
      <c r="F64" t="s">
        <v>32</v>
      </c>
      <c r="G64" t="s">
        <v>3033</v>
      </c>
      <c r="H64">
        <v>960034</v>
      </c>
      <c r="J64" t="s">
        <v>34</v>
      </c>
      <c r="K64" t="s">
        <v>53</v>
      </c>
      <c r="L64" t="s">
        <v>3034</v>
      </c>
      <c r="M64" s="256">
        <v>45994</v>
      </c>
      <c r="N64" s="216">
        <v>46167.666666666701</v>
      </c>
      <c r="P64" t="s">
        <v>177</v>
      </c>
      <c r="Q64" t="s">
        <v>690</v>
      </c>
      <c r="R64" t="s">
        <v>738</v>
      </c>
      <c r="S64" t="s">
        <v>272</v>
      </c>
      <c r="T64" t="s">
        <v>2935</v>
      </c>
      <c r="V64" t="s">
        <v>423</v>
      </c>
      <c r="W64" t="s">
        <v>424</v>
      </c>
      <c r="X64" s="303">
        <v>1852712959</v>
      </c>
      <c r="AC64" t="s">
        <v>3035</v>
      </c>
    </row>
    <row r="65" spans="1:29">
      <c r="A65" t="s">
        <v>490</v>
      </c>
      <c r="B65" t="s">
        <v>739</v>
      </c>
      <c r="C65" t="s">
        <v>2944</v>
      </c>
      <c r="D65" t="s">
        <v>2912</v>
      </c>
      <c r="F65" t="s">
        <v>32</v>
      </c>
      <c r="G65" t="s">
        <v>3036</v>
      </c>
      <c r="H65">
        <v>250009</v>
      </c>
      <c r="J65" t="s">
        <v>34</v>
      </c>
      <c r="K65" t="s">
        <v>53</v>
      </c>
      <c r="L65" t="s">
        <v>3037</v>
      </c>
      <c r="M65" s="256">
        <v>45994</v>
      </c>
      <c r="N65" s="216">
        <v>46167.666666666701</v>
      </c>
      <c r="P65" t="s">
        <v>177</v>
      </c>
      <c r="Q65" t="s">
        <v>690</v>
      </c>
      <c r="R65" t="s">
        <v>743</v>
      </c>
      <c r="S65" t="s">
        <v>272</v>
      </c>
      <c r="T65" t="s">
        <v>2935</v>
      </c>
      <c r="V65" t="s">
        <v>423</v>
      </c>
      <c r="W65" t="s">
        <v>424</v>
      </c>
      <c r="X65" s="303">
        <v>955691284</v>
      </c>
      <c r="AC65" t="s">
        <v>3038</v>
      </c>
    </row>
    <row r="66" spans="1:29">
      <c r="A66" t="s">
        <v>490</v>
      </c>
      <c r="B66" t="s">
        <v>744</v>
      </c>
      <c r="C66" t="s">
        <v>2944</v>
      </c>
      <c r="D66" t="s">
        <v>2912</v>
      </c>
      <c r="F66" t="s">
        <v>32</v>
      </c>
      <c r="G66" t="s">
        <v>745</v>
      </c>
      <c r="J66" t="s">
        <v>34</v>
      </c>
      <c r="M66" s="256">
        <v>45994</v>
      </c>
      <c r="N66" s="216"/>
      <c r="P66" t="s">
        <v>177</v>
      </c>
      <c r="Q66" t="s">
        <v>690</v>
      </c>
      <c r="R66" t="s">
        <v>748</v>
      </c>
      <c r="S66" t="s">
        <v>272</v>
      </c>
      <c r="T66" t="s">
        <v>2935</v>
      </c>
      <c r="V66" t="s">
        <v>423</v>
      </c>
      <c r="W66" t="s">
        <v>424</v>
      </c>
      <c r="X66" s="303">
        <v>300117222</v>
      </c>
      <c r="AC66" t="s">
        <v>3039</v>
      </c>
    </row>
    <row r="67" spans="1:29">
      <c r="A67" t="s">
        <v>490</v>
      </c>
      <c r="B67" t="s">
        <v>749</v>
      </c>
      <c r="C67" t="s">
        <v>2944</v>
      </c>
      <c r="D67" t="s">
        <v>2912</v>
      </c>
      <c r="F67" t="s">
        <v>32</v>
      </c>
      <c r="G67" t="s">
        <v>750</v>
      </c>
      <c r="H67">
        <v>999936</v>
      </c>
      <c r="J67" t="s">
        <v>34</v>
      </c>
      <c r="K67" t="s">
        <v>3040</v>
      </c>
      <c r="L67" t="s">
        <v>3041</v>
      </c>
      <c r="M67" s="256">
        <v>45994</v>
      </c>
      <c r="N67" s="216">
        <v>46167.666666666701</v>
      </c>
      <c r="P67" t="s">
        <v>177</v>
      </c>
      <c r="Q67" t="s">
        <v>690</v>
      </c>
      <c r="R67" t="s">
        <v>754</v>
      </c>
      <c r="S67" t="s">
        <v>272</v>
      </c>
      <c r="T67" t="s">
        <v>2935</v>
      </c>
      <c r="V67" t="s">
        <v>423</v>
      </c>
      <c r="W67" t="s">
        <v>424</v>
      </c>
      <c r="X67" s="303" t="s">
        <v>755</v>
      </c>
      <c r="AC67" t="s">
        <v>3042</v>
      </c>
    </row>
    <row r="68" spans="1:29">
      <c r="A68" t="s">
        <v>490</v>
      </c>
      <c r="B68" t="s">
        <v>756</v>
      </c>
      <c r="C68" t="s">
        <v>2944</v>
      </c>
      <c r="D68" t="s">
        <v>2912</v>
      </c>
      <c r="F68" t="s">
        <v>32</v>
      </c>
      <c r="G68" t="s">
        <v>757</v>
      </c>
      <c r="J68" t="s">
        <v>34</v>
      </c>
      <c r="M68" s="256">
        <v>45994</v>
      </c>
      <c r="N68" s="216"/>
      <c r="P68" t="s">
        <v>177</v>
      </c>
      <c r="Q68" t="s">
        <v>690</v>
      </c>
      <c r="R68" t="s">
        <v>760</v>
      </c>
      <c r="S68" t="s">
        <v>272</v>
      </c>
      <c r="T68" t="s">
        <v>2935</v>
      </c>
      <c r="V68" t="s">
        <v>423</v>
      </c>
      <c r="W68" t="s">
        <v>424</v>
      </c>
      <c r="X68" s="303">
        <v>565350844</v>
      </c>
      <c r="AC68" t="s">
        <v>3043</v>
      </c>
    </row>
    <row r="69" spans="1:29">
      <c r="A69" t="s">
        <v>490</v>
      </c>
      <c r="B69" t="s">
        <v>761</v>
      </c>
      <c r="C69" t="s">
        <v>2944</v>
      </c>
      <c r="D69" t="s">
        <v>2912</v>
      </c>
      <c r="F69" t="s">
        <v>32</v>
      </c>
      <c r="G69" t="s">
        <v>3044</v>
      </c>
      <c r="H69">
        <v>240006</v>
      </c>
      <c r="J69" t="s">
        <v>34</v>
      </c>
      <c r="K69" t="s">
        <v>79</v>
      </c>
      <c r="L69" t="s">
        <v>3045</v>
      </c>
      <c r="M69" s="256">
        <v>45994</v>
      </c>
      <c r="N69" s="216">
        <v>46139.666666666701</v>
      </c>
      <c r="P69" t="s">
        <v>177</v>
      </c>
      <c r="Q69" t="s">
        <v>690</v>
      </c>
      <c r="R69" t="s">
        <v>764</v>
      </c>
      <c r="S69" t="s">
        <v>272</v>
      </c>
      <c r="T69" t="s">
        <v>2935</v>
      </c>
      <c r="V69" t="s">
        <v>423</v>
      </c>
      <c r="W69" t="s">
        <v>424</v>
      </c>
      <c r="X69" s="303">
        <v>1020950007</v>
      </c>
      <c r="AC69" t="s">
        <v>3046</v>
      </c>
    </row>
    <row r="70" spans="1:29">
      <c r="A70" t="s">
        <v>29</v>
      </c>
      <c r="B70" t="s">
        <v>3047</v>
      </c>
      <c r="C70" t="s">
        <v>2944</v>
      </c>
      <c r="D70" t="s">
        <v>2912</v>
      </c>
      <c r="F70" t="s">
        <v>32</v>
      </c>
      <c r="G70" t="s">
        <v>3048</v>
      </c>
      <c r="H70">
        <v>180023</v>
      </c>
      <c r="J70" t="s">
        <v>34</v>
      </c>
      <c r="K70" t="s">
        <v>1466</v>
      </c>
      <c r="L70" t="s">
        <v>3002</v>
      </c>
      <c r="M70" s="256">
        <v>44344</v>
      </c>
      <c r="N70" s="216">
        <v>46159.666666666701</v>
      </c>
      <c r="P70" t="s">
        <v>38</v>
      </c>
      <c r="Q70" t="s">
        <v>244</v>
      </c>
      <c r="R70" t="s">
        <v>298</v>
      </c>
      <c r="S70" t="s">
        <v>272</v>
      </c>
      <c r="T70" t="s">
        <v>2935</v>
      </c>
      <c r="V70" t="s">
        <v>86</v>
      </c>
      <c r="W70" t="s">
        <v>2937</v>
      </c>
      <c r="AC70" t="s">
        <v>3049</v>
      </c>
    </row>
    <row r="71" spans="1:29">
      <c r="A71" t="s">
        <v>29</v>
      </c>
      <c r="B71" t="s">
        <v>3050</v>
      </c>
      <c r="C71" s="203" t="s">
        <v>3051</v>
      </c>
      <c r="E71" t="s">
        <v>50</v>
      </c>
      <c r="F71" t="s">
        <v>51</v>
      </c>
      <c r="I71" t="s">
        <v>52</v>
      </c>
      <c r="M71" s="280">
        <v>42705</v>
      </c>
      <c r="N71" s="216"/>
      <c r="P71" t="s">
        <v>56</v>
      </c>
      <c r="Q71" t="s">
        <v>57</v>
      </c>
      <c r="R71" t="s">
        <v>58</v>
      </c>
      <c r="S71" t="s">
        <v>59</v>
      </c>
      <c r="T71" t="s">
        <v>2949</v>
      </c>
      <c r="U71" t="s">
        <v>718</v>
      </c>
      <c r="V71" t="s">
        <v>62</v>
      </c>
      <c r="W71" t="s">
        <v>45</v>
      </c>
      <c r="X71" s="303">
        <v>1413684043</v>
      </c>
      <c r="AC71" t="s">
        <v>3052</v>
      </c>
    </row>
    <row r="72" spans="1:29" s="222" customFormat="1">
      <c r="A72" s="222" t="s">
        <v>29</v>
      </c>
      <c r="B72" s="222" t="s">
        <v>3053</v>
      </c>
      <c r="C72" s="204" t="s">
        <v>2944</v>
      </c>
      <c r="F72" s="222" t="s">
        <v>32</v>
      </c>
      <c r="G72" s="222" t="s">
        <v>3054</v>
      </c>
      <c r="H72" s="222">
        <v>40103</v>
      </c>
      <c r="I72" s="222" t="s">
        <v>78</v>
      </c>
      <c r="K72" s="222" t="s">
        <v>209</v>
      </c>
      <c r="M72" s="280">
        <v>42976</v>
      </c>
      <c r="N72" s="279">
        <v>46167.666666666701</v>
      </c>
      <c r="P72" s="222" t="s">
        <v>38</v>
      </c>
      <c r="Q72" s="222" t="s">
        <v>82</v>
      </c>
      <c r="R72" s="222" t="s">
        <v>83</v>
      </c>
      <c r="S72" s="222" t="s">
        <v>59</v>
      </c>
      <c r="T72" s="222" t="s">
        <v>2949</v>
      </c>
      <c r="U72" s="222" t="s">
        <v>89</v>
      </c>
      <c r="V72" s="222" t="s">
        <v>86</v>
      </c>
      <c r="W72" s="222" t="s">
        <v>87</v>
      </c>
      <c r="X72" s="304" t="s">
        <v>127</v>
      </c>
      <c r="AC72" s="222" t="s">
        <v>3055</v>
      </c>
    </row>
    <row r="73" spans="1:29">
      <c r="A73" t="s">
        <v>29</v>
      </c>
      <c r="B73" t="s">
        <v>3056</v>
      </c>
      <c r="C73" s="22" t="s">
        <v>2944</v>
      </c>
      <c r="E73" t="s">
        <v>50</v>
      </c>
      <c r="F73" t="s">
        <v>51</v>
      </c>
      <c r="G73" t="s">
        <v>590</v>
      </c>
      <c r="H73">
        <v>230035</v>
      </c>
      <c r="I73" t="s">
        <v>117</v>
      </c>
      <c r="K73" t="s">
        <v>2016</v>
      </c>
      <c r="L73" t="s">
        <v>3057</v>
      </c>
      <c r="M73" s="281">
        <v>43220</v>
      </c>
      <c r="N73" s="216">
        <v>46167.666666666701</v>
      </c>
      <c r="P73" t="s">
        <v>56</v>
      </c>
      <c r="Q73" t="s">
        <v>121</v>
      </c>
      <c r="R73" t="s">
        <v>122</v>
      </c>
      <c r="S73" t="s">
        <v>59</v>
      </c>
      <c r="T73" t="s">
        <v>3058</v>
      </c>
      <c r="U73" t="s">
        <v>126</v>
      </c>
      <c r="V73" t="s">
        <v>62</v>
      </c>
      <c r="W73" t="s">
        <v>98</v>
      </c>
      <c r="X73" s="303" t="s">
        <v>133</v>
      </c>
      <c r="AC73" t="s">
        <v>3059</v>
      </c>
    </row>
    <row r="74" spans="1:29">
      <c r="A74" t="s">
        <v>29</v>
      </c>
      <c r="B74" t="s">
        <v>3060</v>
      </c>
      <c r="C74" s="22" t="s">
        <v>2944</v>
      </c>
      <c r="E74" t="s">
        <v>50</v>
      </c>
      <c r="F74" t="s">
        <v>51</v>
      </c>
      <c r="I74" t="s">
        <v>128</v>
      </c>
      <c r="M74" s="281">
        <v>43220</v>
      </c>
      <c r="N74" s="216"/>
      <c r="P74" t="s">
        <v>56</v>
      </c>
      <c r="Q74" t="s">
        <v>121</v>
      </c>
      <c r="R74" t="s">
        <v>131</v>
      </c>
      <c r="S74" t="s">
        <v>59</v>
      </c>
      <c r="T74" t="s">
        <v>2949</v>
      </c>
      <c r="U74" t="s">
        <v>132</v>
      </c>
      <c r="V74" t="s">
        <v>62</v>
      </c>
      <c r="W74" t="s">
        <v>98</v>
      </c>
      <c r="AC74" t="s">
        <v>3061</v>
      </c>
    </row>
    <row r="75" spans="1:29">
      <c r="A75" t="s">
        <v>29</v>
      </c>
      <c r="B75" t="s">
        <v>3062</v>
      </c>
      <c r="C75" s="22" t="s">
        <v>2944</v>
      </c>
      <c r="E75" t="s">
        <v>50</v>
      </c>
      <c r="F75" t="s">
        <v>51</v>
      </c>
      <c r="I75" t="s">
        <v>134</v>
      </c>
      <c r="M75" s="281">
        <v>43220</v>
      </c>
      <c r="N75" s="216"/>
      <c r="P75" t="s">
        <v>56</v>
      </c>
      <c r="Q75" t="s">
        <v>121</v>
      </c>
      <c r="R75" t="s">
        <v>139</v>
      </c>
      <c r="S75" t="s">
        <v>59</v>
      </c>
      <c r="T75" t="s">
        <v>2949</v>
      </c>
      <c r="U75" t="s">
        <v>141</v>
      </c>
      <c r="V75" t="s">
        <v>62</v>
      </c>
      <c r="W75" t="s">
        <v>98</v>
      </c>
      <c r="AC75" t="s">
        <v>3063</v>
      </c>
    </row>
    <row r="76" spans="1:29">
      <c r="A76" t="s">
        <v>29</v>
      </c>
      <c r="B76" t="s">
        <v>3064</v>
      </c>
      <c r="C76" s="5" t="s">
        <v>3051</v>
      </c>
      <c r="E76" t="s">
        <v>50</v>
      </c>
      <c r="F76" t="s">
        <v>51</v>
      </c>
      <c r="I76" t="s">
        <v>166</v>
      </c>
      <c r="M76" s="281">
        <v>43474</v>
      </c>
      <c r="N76" s="216"/>
      <c r="P76" t="s">
        <v>56</v>
      </c>
      <c r="Q76" t="s">
        <v>169</v>
      </c>
      <c r="R76" t="s">
        <v>170</v>
      </c>
      <c r="S76" t="s">
        <v>59</v>
      </c>
      <c r="T76" t="s">
        <v>2949</v>
      </c>
      <c r="U76" t="s">
        <v>173</v>
      </c>
      <c r="V76" t="s">
        <v>62</v>
      </c>
      <c r="W76" t="s">
        <v>98</v>
      </c>
      <c r="AC76" t="s">
        <v>3065</v>
      </c>
    </row>
    <row r="77" spans="1:29">
      <c r="A77" t="s">
        <v>29</v>
      </c>
      <c r="B77" t="s">
        <v>3066</v>
      </c>
      <c r="C77" s="5" t="s">
        <v>3051</v>
      </c>
      <c r="E77" t="s">
        <v>50</v>
      </c>
      <c r="F77" t="s">
        <v>51</v>
      </c>
      <c r="I77" t="s">
        <v>174</v>
      </c>
      <c r="M77" s="281" t="s">
        <v>48</v>
      </c>
      <c r="N77" s="216"/>
      <c r="P77" t="s">
        <v>177</v>
      </c>
      <c r="Q77" t="s">
        <v>178</v>
      </c>
      <c r="R77" t="s">
        <v>179</v>
      </c>
      <c r="S77" t="s">
        <v>59</v>
      </c>
      <c r="X77" s="303" t="s">
        <v>222</v>
      </c>
      <c r="AC77" t="s">
        <v>3067</v>
      </c>
    </row>
    <row r="78" spans="1:29">
      <c r="A78" t="s">
        <v>29</v>
      </c>
      <c r="B78" t="s">
        <v>3068</v>
      </c>
      <c r="C78" s="5" t="s">
        <v>2944</v>
      </c>
      <c r="F78" t="s">
        <v>51</v>
      </c>
      <c r="G78" t="s">
        <v>3069</v>
      </c>
      <c r="M78" s="281">
        <v>44047</v>
      </c>
      <c r="N78" s="216"/>
      <c r="P78" t="s">
        <v>38</v>
      </c>
      <c r="Q78" t="s">
        <v>216</v>
      </c>
      <c r="R78" t="s">
        <v>217</v>
      </c>
      <c r="S78" t="s">
        <v>59</v>
      </c>
      <c r="T78" t="s">
        <v>3058</v>
      </c>
      <c r="U78" t="s">
        <v>221</v>
      </c>
      <c r="V78" t="s">
        <v>86</v>
      </c>
      <c r="W78" t="s">
        <v>220</v>
      </c>
      <c r="X78" s="303" t="s">
        <v>229</v>
      </c>
      <c r="AC78" t="s">
        <v>3070</v>
      </c>
    </row>
    <row r="79" spans="1:29">
      <c r="A79" t="s">
        <v>29</v>
      </c>
      <c r="B79" t="s">
        <v>3071</v>
      </c>
      <c r="C79" s="5" t="s">
        <v>2944</v>
      </c>
      <c r="F79" t="s">
        <v>51</v>
      </c>
      <c r="G79" t="s">
        <v>3072</v>
      </c>
      <c r="M79" s="281">
        <v>44047</v>
      </c>
      <c r="N79" s="216"/>
      <c r="P79" t="s">
        <v>38</v>
      </c>
      <c r="Q79" t="s">
        <v>216</v>
      </c>
      <c r="R79" t="s">
        <v>226</v>
      </c>
      <c r="S79" t="s">
        <v>59</v>
      </c>
      <c r="T79" t="s">
        <v>3058</v>
      </c>
      <c r="U79" t="s">
        <v>227</v>
      </c>
      <c r="V79" t="s">
        <v>86</v>
      </c>
      <c r="W79" t="s">
        <v>220</v>
      </c>
      <c r="AC79" t="s">
        <v>3073</v>
      </c>
    </row>
    <row r="80" spans="1:29">
      <c r="A80" t="s">
        <v>29</v>
      </c>
      <c r="B80" t="s">
        <v>3074</v>
      </c>
      <c r="C80" s="5" t="s">
        <v>2944</v>
      </c>
      <c r="F80" t="s">
        <v>32</v>
      </c>
      <c r="G80" t="s">
        <v>3075</v>
      </c>
      <c r="H80">
        <v>180058</v>
      </c>
      <c r="K80" t="s">
        <v>79</v>
      </c>
      <c r="L80" t="s">
        <v>3076</v>
      </c>
      <c r="M80" s="281">
        <v>44277</v>
      </c>
      <c r="N80" s="216">
        <v>46288.666666666701</v>
      </c>
      <c r="P80" t="s">
        <v>38</v>
      </c>
      <c r="Q80" t="s">
        <v>244</v>
      </c>
      <c r="R80" t="s">
        <v>236</v>
      </c>
      <c r="S80" t="s">
        <v>59</v>
      </c>
      <c r="T80" t="s">
        <v>3058</v>
      </c>
      <c r="U80" t="s">
        <v>240</v>
      </c>
      <c r="V80" t="s">
        <v>238</v>
      </c>
      <c r="W80" t="s">
        <v>239</v>
      </c>
      <c r="X80" s="303" t="s">
        <v>241</v>
      </c>
      <c r="AC80" t="s">
        <v>3077</v>
      </c>
    </row>
    <row r="81" spans="1:29">
      <c r="A81" t="s">
        <v>29</v>
      </c>
      <c r="B81" t="s">
        <v>3078</v>
      </c>
      <c r="C81" s="5" t="s">
        <v>2944</v>
      </c>
      <c r="F81" t="s">
        <v>32</v>
      </c>
      <c r="G81" t="s">
        <v>247</v>
      </c>
      <c r="I81" t="s">
        <v>247</v>
      </c>
      <c r="M81" s="280">
        <v>44277</v>
      </c>
      <c r="N81" s="216"/>
      <c r="P81" t="s">
        <v>38</v>
      </c>
      <c r="Q81" t="s">
        <v>244</v>
      </c>
      <c r="R81" t="s">
        <v>252</v>
      </c>
      <c r="S81" t="s">
        <v>59</v>
      </c>
      <c r="T81" t="s">
        <v>2935</v>
      </c>
      <c r="V81" t="s">
        <v>238</v>
      </c>
      <c r="W81" t="s">
        <v>239</v>
      </c>
      <c r="X81" s="303" t="s">
        <v>260</v>
      </c>
      <c r="AC81" s="217" t="s">
        <v>3079</v>
      </c>
    </row>
    <row r="82" spans="1:29">
      <c r="A82" t="s">
        <v>29</v>
      </c>
      <c r="B82" t="s">
        <v>3080</v>
      </c>
      <c r="C82" s="5" t="s">
        <v>2944</v>
      </c>
      <c r="F82" t="s">
        <v>32</v>
      </c>
      <c r="G82" t="s">
        <v>243</v>
      </c>
      <c r="I82" t="s">
        <v>243</v>
      </c>
      <c r="M82" s="281">
        <v>44277</v>
      </c>
      <c r="N82" s="216"/>
      <c r="P82" t="s">
        <v>38</v>
      </c>
      <c r="Q82" t="s">
        <v>244</v>
      </c>
      <c r="R82" t="s">
        <v>245</v>
      </c>
      <c r="S82" t="s">
        <v>59</v>
      </c>
      <c r="T82" t="s">
        <v>3058</v>
      </c>
      <c r="U82" t="s">
        <v>259</v>
      </c>
      <c r="V82" t="s">
        <v>238</v>
      </c>
      <c r="W82" t="s">
        <v>239</v>
      </c>
      <c r="X82" s="303" t="s">
        <v>255</v>
      </c>
      <c r="AC82" t="s">
        <v>3081</v>
      </c>
    </row>
    <row r="83" spans="1:29">
      <c r="A83" t="s">
        <v>29</v>
      </c>
      <c r="B83" t="s">
        <v>3082</v>
      </c>
      <c r="C83" s="5" t="s">
        <v>2944</v>
      </c>
      <c r="F83" t="s">
        <v>32</v>
      </c>
      <c r="G83" t="s">
        <v>3083</v>
      </c>
      <c r="H83">
        <v>180029</v>
      </c>
      <c r="I83" t="s">
        <v>262</v>
      </c>
      <c r="K83" t="s">
        <v>1659</v>
      </c>
      <c r="L83" t="s">
        <v>3034</v>
      </c>
      <c r="M83" s="281">
        <v>44277</v>
      </c>
      <c r="N83" s="216">
        <v>46163.666666666701</v>
      </c>
      <c r="P83" t="s">
        <v>38</v>
      </c>
      <c r="Q83" t="s">
        <v>244</v>
      </c>
      <c r="R83" t="s">
        <v>265</v>
      </c>
      <c r="S83" t="s">
        <v>59</v>
      </c>
      <c r="T83" t="s">
        <v>3058</v>
      </c>
      <c r="U83" t="s">
        <v>266</v>
      </c>
      <c r="V83" t="s">
        <v>238</v>
      </c>
      <c r="W83" t="s">
        <v>239</v>
      </c>
      <c r="X83" s="303" t="s">
        <v>274</v>
      </c>
      <c r="AC83" t="s">
        <v>3084</v>
      </c>
    </row>
    <row r="84" spans="1:29">
      <c r="A84" t="s">
        <v>29</v>
      </c>
      <c r="B84" t="s">
        <v>3085</v>
      </c>
      <c r="C84" s="5" t="s">
        <v>2944</v>
      </c>
      <c r="F84" t="s">
        <v>51</v>
      </c>
      <c r="G84" t="s">
        <v>3086</v>
      </c>
      <c r="M84" s="281">
        <v>44293</v>
      </c>
      <c r="N84" s="216"/>
      <c r="P84" t="s">
        <v>38</v>
      </c>
      <c r="Q84" t="s">
        <v>216</v>
      </c>
      <c r="R84" t="s">
        <v>271</v>
      </c>
      <c r="S84" t="s">
        <v>272</v>
      </c>
      <c r="T84" t="s">
        <v>3058</v>
      </c>
      <c r="U84" t="s">
        <v>273</v>
      </c>
      <c r="V84" t="s">
        <v>238</v>
      </c>
      <c r="W84" t="s">
        <v>220</v>
      </c>
      <c r="X84" s="303">
        <v>1852609498</v>
      </c>
      <c r="AC84" t="s">
        <v>3087</v>
      </c>
    </row>
    <row r="85" spans="1:29">
      <c r="A85" t="s">
        <v>29</v>
      </c>
      <c r="B85" t="s">
        <v>3088</v>
      </c>
      <c r="C85" s="5" t="s">
        <v>2944</v>
      </c>
      <c r="F85" t="s">
        <v>51</v>
      </c>
      <c r="G85" t="s">
        <v>275</v>
      </c>
      <c r="M85" s="281">
        <v>44293</v>
      </c>
      <c r="N85" s="216"/>
      <c r="P85" t="s">
        <v>38</v>
      </c>
      <c r="Q85" t="s">
        <v>216</v>
      </c>
      <c r="R85" t="s">
        <v>278</v>
      </c>
      <c r="S85" t="s">
        <v>272</v>
      </c>
      <c r="T85" t="s">
        <v>3058</v>
      </c>
      <c r="U85" t="s">
        <v>279</v>
      </c>
      <c r="V85" t="s">
        <v>238</v>
      </c>
      <c r="W85" t="s">
        <v>220</v>
      </c>
      <c r="X85" s="303" t="s">
        <v>286</v>
      </c>
      <c r="AC85" t="s">
        <v>3089</v>
      </c>
    </row>
    <row r="86" spans="1:29">
      <c r="A86" t="s">
        <v>29</v>
      </c>
      <c r="B86" t="s">
        <v>3090</v>
      </c>
      <c r="C86" s="5" t="s">
        <v>2944</v>
      </c>
      <c r="F86" t="s">
        <v>32</v>
      </c>
      <c r="G86" t="s">
        <v>280</v>
      </c>
      <c r="M86" s="281">
        <v>44288</v>
      </c>
      <c r="N86" s="216"/>
      <c r="P86" t="s">
        <v>38</v>
      </c>
      <c r="Q86" t="s">
        <v>244</v>
      </c>
      <c r="R86" t="s">
        <v>283</v>
      </c>
      <c r="S86" t="s">
        <v>59</v>
      </c>
      <c r="T86" t="s">
        <v>3058</v>
      </c>
      <c r="U86" t="s">
        <v>284</v>
      </c>
      <c r="V86" t="s">
        <v>238</v>
      </c>
      <c r="W86" t="s">
        <v>239</v>
      </c>
      <c r="X86" s="303" t="s">
        <v>293</v>
      </c>
      <c r="AC86" t="s">
        <v>3091</v>
      </c>
    </row>
    <row r="87" spans="1:29">
      <c r="A87" t="s">
        <v>29</v>
      </c>
      <c r="B87" t="s">
        <v>3092</v>
      </c>
      <c r="C87" s="5" t="s">
        <v>2944</v>
      </c>
      <c r="F87" t="s">
        <v>32</v>
      </c>
      <c r="G87" t="s">
        <v>3093</v>
      </c>
      <c r="H87">
        <v>190014</v>
      </c>
      <c r="I87" t="s">
        <v>288</v>
      </c>
      <c r="K87" t="s">
        <v>3094</v>
      </c>
      <c r="L87" t="s">
        <v>3002</v>
      </c>
      <c r="M87" s="281">
        <v>44344</v>
      </c>
      <c r="N87" s="216">
        <v>46167.666666666701</v>
      </c>
      <c r="P87" t="s">
        <v>38</v>
      </c>
      <c r="Q87" t="s">
        <v>244</v>
      </c>
      <c r="R87" t="s">
        <v>291</v>
      </c>
      <c r="S87" t="s">
        <v>59</v>
      </c>
      <c r="T87" t="s">
        <v>3058</v>
      </c>
      <c r="U87" t="s">
        <v>292</v>
      </c>
      <c r="V87" t="s">
        <v>238</v>
      </c>
      <c r="W87" t="s">
        <v>239</v>
      </c>
      <c r="X87" s="303" t="s">
        <v>307</v>
      </c>
      <c r="AC87" t="s">
        <v>3095</v>
      </c>
    </row>
    <row r="88" spans="1:29">
      <c r="A88" t="s">
        <v>29</v>
      </c>
      <c r="B88" t="s">
        <v>3096</v>
      </c>
      <c r="C88" s="5" t="s">
        <v>2944</v>
      </c>
      <c r="F88" t="s">
        <v>32</v>
      </c>
      <c r="G88" t="s">
        <v>3097</v>
      </c>
      <c r="H88">
        <v>250022</v>
      </c>
      <c r="I88" t="s">
        <v>302</v>
      </c>
      <c r="K88" t="s">
        <v>181</v>
      </c>
      <c r="L88" t="s">
        <v>3045</v>
      </c>
      <c r="M88" s="281">
        <v>44344</v>
      </c>
      <c r="N88" s="216">
        <v>46167.666666666701</v>
      </c>
      <c r="P88" t="s">
        <v>38</v>
      </c>
      <c r="Q88" t="s">
        <v>244</v>
      </c>
      <c r="R88" t="s">
        <v>305</v>
      </c>
      <c r="S88" t="s">
        <v>59</v>
      </c>
      <c r="T88" t="s">
        <v>3058</v>
      </c>
      <c r="U88" t="s">
        <v>306</v>
      </c>
      <c r="V88" t="s">
        <v>238</v>
      </c>
      <c r="W88" t="s">
        <v>239</v>
      </c>
      <c r="AC88" t="s">
        <v>3098</v>
      </c>
    </row>
    <row r="89" spans="1:29" ht="26.25" customHeight="1">
      <c r="A89" t="s">
        <v>29</v>
      </c>
      <c r="B89" t="s">
        <v>3099</v>
      </c>
      <c r="C89" s="5" t="s">
        <v>325</v>
      </c>
      <c r="F89" t="s">
        <v>32</v>
      </c>
      <c r="G89" t="s">
        <v>3100</v>
      </c>
      <c r="H89">
        <v>170131</v>
      </c>
      <c r="I89" t="s">
        <v>308</v>
      </c>
      <c r="K89" t="s">
        <v>2016</v>
      </c>
      <c r="L89" t="s">
        <v>3034</v>
      </c>
      <c r="M89" s="280">
        <v>44405</v>
      </c>
      <c r="N89" s="216">
        <v>46167.666666666701</v>
      </c>
      <c r="P89" t="s">
        <v>38</v>
      </c>
      <c r="Q89" t="s">
        <v>244</v>
      </c>
      <c r="R89" t="s">
        <v>312</v>
      </c>
      <c r="S89" t="s">
        <v>59</v>
      </c>
      <c r="T89" t="s">
        <v>3058</v>
      </c>
      <c r="U89" t="s">
        <v>313</v>
      </c>
      <c r="V89" t="s">
        <v>238</v>
      </c>
      <c r="W89" t="s">
        <v>239</v>
      </c>
      <c r="X89" s="303">
        <v>242378185</v>
      </c>
      <c r="AC89" t="s">
        <v>3101</v>
      </c>
    </row>
    <row r="90" spans="1:29">
      <c r="A90" t="s">
        <v>29</v>
      </c>
      <c r="B90" t="s">
        <v>3102</v>
      </c>
      <c r="C90" s="5" t="s">
        <v>325</v>
      </c>
      <c r="F90" t="s">
        <v>32</v>
      </c>
      <c r="G90" t="s">
        <v>783</v>
      </c>
      <c r="H90">
        <v>260001</v>
      </c>
      <c r="I90" t="s">
        <v>315</v>
      </c>
      <c r="K90" t="s">
        <v>2629</v>
      </c>
      <c r="L90" t="s">
        <v>3103</v>
      </c>
      <c r="M90" s="281">
        <v>44405</v>
      </c>
      <c r="N90" s="216">
        <v>46159.666666666701</v>
      </c>
      <c r="P90" t="s">
        <v>38</v>
      </c>
      <c r="Q90" t="s">
        <v>244</v>
      </c>
      <c r="R90" t="s">
        <v>320</v>
      </c>
      <c r="S90" t="s">
        <v>272</v>
      </c>
      <c r="T90" t="s">
        <v>321</v>
      </c>
      <c r="U90" t="s">
        <v>322</v>
      </c>
      <c r="V90" t="s">
        <v>238</v>
      </c>
      <c r="W90" t="s">
        <v>239</v>
      </c>
      <c r="X90" s="305" t="s">
        <v>323</v>
      </c>
      <c r="AC90" t="s">
        <v>3104</v>
      </c>
    </row>
    <row r="91" spans="1:29">
      <c r="A91" t="s">
        <v>29</v>
      </c>
      <c r="B91" t="s">
        <v>3105</v>
      </c>
      <c r="C91" s="177" t="s">
        <v>2944</v>
      </c>
      <c r="E91" t="s">
        <v>3106</v>
      </c>
      <c r="F91" t="s">
        <v>32</v>
      </c>
      <c r="G91" t="s">
        <v>3107</v>
      </c>
      <c r="H91">
        <v>200017</v>
      </c>
      <c r="I91" t="s">
        <v>326</v>
      </c>
      <c r="M91" s="282">
        <v>44469</v>
      </c>
      <c r="N91" s="216"/>
      <c r="P91" t="s">
        <v>38</v>
      </c>
      <c r="Q91" t="s">
        <v>244</v>
      </c>
      <c r="R91" t="s">
        <v>329</v>
      </c>
      <c r="S91" t="s">
        <v>59</v>
      </c>
      <c r="T91" t="s">
        <v>3058</v>
      </c>
      <c r="U91" t="s">
        <v>330</v>
      </c>
      <c r="V91" t="s">
        <v>238</v>
      </c>
      <c r="W91" t="s">
        <v>239</v>
      </c>
      <c r="X91" s="303" t="s">
        <v>345</v>
      </c>
      <c r="AC91" t="s">
        <v>3108</v>
      </c>
    </row>
    <row r="92" spans="1:29">
      <c r="A92" t="s">
        <v>29</v>
      </c>
      <c r="B92" t="s">
        <v>3109</v>
      </c>
      <c r="C92" s="1" t="s">
        <v>2944</v>
      </c>
      <c r="F92" t="s">
        <v>51</v>
      </c>
      <c r="G92" t="s">
        <v>342</v>
      </c>
      <c r="I92" t="s">
        <v>343</v>
      </c>
      <c r="M92" s="281"/>
      <c r="N92" s="216"/>
      <c r="T92" t="s">
        <v>2949</v>
      </c>
      <c r="X92" s="303">
        <v>1567752931</v>
      </c>
      <c r="AC92" t="s">
        <v>3110</v>
      </c>
    </row>
    <row r="93" spans="1:29">
      <c r="A93" t="s">
        <v>29</v>
      </c>
      <c r="B93" t="s">
        <v>3111</v>
      </c>
      <c r="C93" s="1" t="s">
        <v>2944</v>
      </c>
      <c r="F93" t="s">
        <v>51</v>
      </c>
      <c r="G93" t="s">
        <v>346</v>
      </c>
      <c r="I93" t="s">
        <v>346</v>
      </c>
      <c r="M93" s="281"/>
      <c r="N93" s="216"/>
      <c r="T93" t="s">
        <v>2949</v>
      </c>
      <c r="U93" t="s">
        <v>348</v>
      </c>
      <c r="AC93" t="s">
        <v>3112</v>
      </c>
    </row>
    <row r="94" spans="1:29">
      <c r="A94" t="s">
        <v>29</v>
      </c>
      <c r="B94" t="s">
        <v>3113</v>
      </c>
      <c r="C94" t="s">
        <v>2944</v>
      </c>
      <c r="F94" t="s">
        <v>51</v>
      </c>
      <c r="G94" t="s">
        <v>786</v>
      </c>
      <c r="H94">
        <v>999926</v>
      </c>
      <c r="I94" t="s">
        <v>3114</v>
      </c>
      <c r="J94" t="s">
        <v>34</v>
      </c>
      <c r="K94" t="s">
        <v>53</v>
      </c>
      <c r="L94" t="s">
        <v>3115</v>
      </c>
      <c r="N94" s="216">
        <v>46167.666666666701</v>
      </c>
      <c r="P94" t="s">
        <v>38</v>
      </c>
      <c r="Q94" t="s">
        <v>216</v>
      </c>
      <c r="S94" t="s">
        <v>59</v>
      </c>
      <c r="T94" t="s">
        <v>2949</v>
      </c>
      <c r="U94" t="s">
        <v>212</v>
      </c>
      <c r="V94" t="s">
        <v>238</v>
      </c>
      <c r="W94" t="s">
        <v>45</v>
      </c>
      <c r="X94" s="303">
        <v>1849532905</v>
      </c>
      <c r="AC94" t="s">
        <v>3116</v>
      </c>
    </row>
    <row r="95" spans="1:29">
      <c r="A95" t="s">
        <v>490</v>
      </c>
      <c r="B95" t="s">
        <v>3117</v>
      </c>
      <c r="C95" t="s">
        <v>2944</v>
      </c>
      <c r="D95" t="s">
        <v>3118</v>
      </c>
      <c r="F95" t="s">
        <v>32</v>
      </c>
      <c r="G95" t="s">
        <v>2993</v>
      </c>
      <c r="H95">
        <v>260004</v>
      </c>
      <c r="J95" t="s">
        <v>34</v>
      </c>
      <c r="K95" t="s">
        <v>35</v>
      </c>
      <c r="L95" t="s">
        <v>3119</v>
      </c>
      <c r="M95" s="256">
        <v>46170</v>
      </c>
      <c r="N95" s="216">
        <v>46287.666666666701</v>
      </c>
      <c r="P95" t="s">
        <v>56</v>
      </c>
      <c r="Q95" t="s">
        <v>3120</v>
      </c>
      <c r="R95" t="s">
        <v>358</v>
      </c>
      <c r="S95" t="s">
        <v>272</v>
      </c>
      <c r="V95" t="s">
        <v>642</v>
      </c>
      <c r="W95" t="s">
        <v>1163</v>
      </c>
      <c r="AC95" t="s">
        <v>3121</v>
      </c>
    </row>
    <row r="96" spans="1:29">
      <c r="A96" t="s">
        <v>490</v>
      </c>
      <c r="B96" t="s">
        <v>3122</v>
      </c>
      <c r="C96" t="s">
        <v>2932</v>
      </c>
      <c r="D96" t="s">
        <v>3118</v>
      </c>
      <c r="F96" t="s">
        <v>32</v>
      </c>
      <c r="J96" t="s">
        <v>34</v>
      </c>
      <c r="M96" s="256">
        <v>46170</v>
      </c>
      <c r="N96" s="216">
        <v>46288.666666666701</v>
      </c>
      <c r="P96" t="s">
        <v>56</v>
      </c>
      <c r="Q96" t="s">
        <v>3120</v>
      </c>
      <c r="R96" t="s">
        <v>3123</v>
      </c>
      <c r="S96" t="s">
        <v>272</v>
      </c>
      <c r="V96" t="s">
        <v>642</v>
      </c>
      <c r="W96" t="s">
        <v>1163</v>
      </c>
      <c r="AC96" t="s">
        <v>3124</v>
      </c>
    </row>
    <row r="97" spans="1:29">
      <c r="A97" t="s">
        <v>490</v>
      </c>
      <c r="B97" t="s">
        <v>3125</v>
      </c>
      <c r="C97" t="s">
        <v>2932</v>
      </c>
      <c r="D97" t="s">
        <v>3118</v>
      </c>
      <c r="F97" t="s">
        <v>32</v>
      </c>
      <c r="J97" t="s">
        <v>34</v>
      </c>
      <c r="M97" s="256">
        <v>46170</v>
      </c>
      <c r="N97" s="216"/>
      <c r="P97" t="s">
        <v>56</v>
      </c>
      <c r="Q97" t="s">
        <v>3120</v>
      </c>
      <c r="R97" t="s">
        <v>3126</v>
      </c>
      <c r="S97" t="s">
        <v>272</v>
      </c>
      <c r="V97" t="s">
        <v>642</v>
      </c>
      <c r="W97" t="s">
        <v>1163</v>
      </c>
      <c r="AC97" t="s">
        <v>3127</v>
      </c>
    </row>
    <row r="98" spans="1:29">
      <c r="N98" s="216"/>
      <c r="AC98" s="217" t="s">
        <v>3128</v>
      </c>
    </row>
    <row r="99" spans="1:29">
      <c r="N99" s="216"/>
      <c r="AC99" t="s">
        <v>3129</v>
      </c>
    </row>
    <row r="100" spans="1:29">
      <c r="N100" s="216"/>
      <c r="AC100" t="s">
        <v>3130</v>
      </c>
    </row>
    <row r="101" spans="1:29">
      <c r="N101" s="216"/>
      <c r="AC101" t="s">
        <v>3131</v>
      </c>
    </row>
    <row r="102" spans="1:29">
      <c r="N102" s="216"/>
      <c r="AC102" t="s">
        <v>3132</v>
      </c>
    </row>
    <row r="103" spans="1:29">
      <c r="N103" s="216"/>
      <c r="AC103" t="s">
        <v>3133</v>
      </c>
    </row>
    <row r="104" spans="1:29">
      <c r="N104" s="216"/>
      <c r="AC104" t="s">
        <v>3134</v>
      </c>
    </row>
    <row r="105" spans="1:29">
      <c r="N105" s="216"/>
      <c r="AC105" t="s">
        <v>3135</v>
      </c>
    </row>
    <row r="106" spans="1:29">
      <c r="N106" s="216"/>
      <c r="AC106" t="s">
        <v>3136</v>
      </c>
    </row>
    <row r="107" spans="1:29">
      <c r="N107" s="216"/>
      <c r="AC107" t="s">
        <v>3137</v>
      </c>
    </row>
    <row r="108" spans="1:29">
      <c r="N108" s="216"/>
      <c r="AC108" t="s">
        <v>3138</v>
      </c>
    </row>
    <row r="109" spans="1:29">
      <c r="N109" s="216"/>
      <c r="AC109" t="s">
        <v>3139</v>
      </c>
    </row>
    <row r="110" spans="1:29">
      <c r="N110" s="216"/>
      <c r="AC110" t="s">
        <v>3140</v>
      </c>
    </row>
    <row r="111" spans="1:29">
      <c r="N111" s="216"/>
      <c r="AC111" t="s">
        <v>3141</v>
      </c>
    </row>
    <row r="112" spans="1:29">
      <c r="N112" s="216"/>
      <c r="AC112" t="s">
        <v>3142</v>
      </c>
    </row>
    <row r="113" spans="14:29">
      <c r="N113" s="216"/>
      <c r="AC113" t="s">
        <v>3143</v>
      </c>
    </row>
    <row r="114" spans="14:29">
      <c r="N114" s="216"/>
      <c r="AC114" t="s">
        <v>3144</v>
      </c>
    </row>
    <row r="115" spans="14:29">
      <c r="N115" s="216"/>
      <c r="AC115" s="217" t="s">
        <v>3145</v>
      </c>
    </row>
    <row r="116" spans="14:29">
      <c r="N116" s="216"/>
      <c r="AC116" t="s">
        <v>3146</v>
      </c>
    </row>
    <row r="117" spans="14:29">
      <c r="N117" s="216"/>
      <c r="AC117" t="s">
        <v>3147</v>
      </c>
    </row>
    <row r="118" spans="14:29">
      <c r="N118" s="216"/>
      <c r="AC118" t="s">
        <v>3148</v>
      </c>
    </row>
    <row r="119" spans="14:29">
      <c r="N119" s="216"/>
      <c r="AC119" t="s">
        <v>3149</v>
      </c>
    </row>
    <row r="120" spans="14:29">
      <c r="N120" s="216"/>
      <c r="AC120" t="s">
        <v>3150</v>
      </c>
    </row>
    <row r="121" spans="14:29">
      <c r="N121" s="216"/>
      <c r="AC121" t="s">
        <v>3151</v>
      </c>
    </row>
    <row r="122" spans="14:29">
      <c r="N122" s="216"/>
      <c r="AC122" s="217" t="s">
        <v>3152</v>
      </c>
    </row>
    <row r="123" spans="14:29">
      <c r="N123" s="216"/>
      <c r="AC123" t="s">
        <v>3153</v>
      </c>
    </row>
    <row r="124" spans="14:29">
      <c r="N124" s="216"/>
      <c r="AC124" t="s">
        <v>3154</v>
      </c>
    </row>
    <row r="125" spans="14:29">
      <c r="N125" s="216"/>
      <c r="AC125" t="s">
        <v>3155</v>
      </c>
    </row>
    <row r="126" spans="14:29">
      <c r="N126" s="216"/>
      <c r="AC126" t="s">
        <v>3156</v>
      </c>
    </row>
    <row r="127" spans="14:29">
      <c r="N127" s="216"/>
      <c r="AC127" t="s">
        <v>3157</v>
      </c>
    </row>
    <row r="128" spans="14:29">
      <c r="N128" s="216"/>
      <c r="AC128" t="s">
        <v>3158</v>
      </c>
    </row>
    <row r="129" spans="14:29">
      <c r="N129" s="216"/>
      <c r="AC129" t="s">
        <v>3159</v>
      </c>
    </row>
    <row r="130" spans="14:29">
      <c r="N130" s="216"/>
      <c r="AC130" t="s">
        <v>3160</v>
      </c>
    </row>
    <row r="131" spans="14:29">
      <c r="N131" s="216"/>
      <c r="AC131" t="s">
        <v>3161</v>
      </c>
    </row>
    <row r="132" spans="14:29">
      <c r="N132" s="216"/>
      <c r="AC132" t="s">
        <v>3162</v>
      </c>
    </row>
    <row r="133" spans="14:29">
      <c r="N133" s="216"/>
      <c r="AC133" t="s">
        <v>3163</v>
      </c>
    </row>
    <row r="134" spans="14:29">
      <c r="N134" s="216"/>
      <c r="AC134" t="s">
        <v>3164</v>
      </c>
    </row>
    <row r="135" spans="14:29">
      <c r="N135" s="216"/>
      <c r="AC135" t="s">
        <v>3165</v>
      </c>
    </row>
    <row r="136" spans="14:29">
      <c r="N136" s="216"/>
      <c r="AC136" t="s">
        <v>3166</v>
      </c>
    </row>
    <row r="137" spans="14:29">
      <c r="N137" s="216"/>
      <c r="AC137" s="217" t="s">
        <v>3167</v>
      </c>
    </row>
    <row r="138" spans="14:29">
      <c r="N138" s="216"/>
      <c r="AC138" t="s">
        <v>3168</v>
      </c>
    </row>
    <row r="139" spans="14:29">
      <c r="N139" s="216"/>
      <c r="AC139" t="s">
        <v>3169</v>
      </c>
    </row>
    <row r="140" spans="14:29">
      <c r="N140" s="216"/>
      <c r="AC140" t="s">
        <v>3170</v>
      </c>
    </row>
    <row r="141" spans="14:29">
      <c r="N141" s="216"/>
      <c r="AC141" t="s">
        <v>3171</v>
      </c>
    </row>
    <row r="142" spans="14:29">
      <c r="N142" s="216"/>
      <c r="AC142" t="s">
        <v>3172</v>
      </c>
    </row>
    <row r="143" spans="14:29">
      <c r="N143" s="216"/>
      <c r="AC143" t="s">
        <v>3173</v>
      </c>
    </row>
    <row r="144" spans="14:29">
      <c r="N144" s="216"/>
      <c r="AC144" t="s">
        <v>3174</v>
      </c>
    </row>
    <row r="145" spans="14:29">
      <c r="N145" s="216"/>
      <c r="AC145" t="s">
        <v>3175</v>
      </c>
    </row>
    <row r="146" spans="14:29">
      <c r="N146" s="216"/>
      <c r="AC146" t="s">
        <v>3176</v>
      </c>
    </row>
    <row r="147" spans="14:29">
      <c r="N147" s="216"/>
      <c r="AC147" t="s">
        <v>3177</v>
      </c>
    </row>
    <row r="148" spans="14:29">
      <c r="N148" s="216"/>
      <c r="AC148" t="s">
        <v>3178</v>
      </c>
    </row>
    <row r="149" spans="14:29">
      <c r="N149" s="216"/>
      <c r="AC149" t="s">
        <v>3179</v>
      </c>
    </row>
    <row r="150" spans="14:29">
      <c r="N150" s="216"/>
      <c r="AC150" t="s">
        <v>3180</v>
      </c>
    </row>
    <row r="151" spans="14:29">
      <c r="N151" s="216"/>
      <c r="AC151" t="s">
        <v>3181</v>
      </c>
    </row>
    <row r="152" spans="14:29">
      <c r="N152" s="216"/>
      <c r="AC152" t="s">
        <v>3182</v>
      </c>
    </row>
    <row r="153" spans="14:29">
      <c r="N153" s="216"/>
      <c r="AC153" t="s">
        <v>3183</v>
      </c>
    </row>
    <row r="154" spans="14:29">
      <c r="N154" s="216"/>
      <c r="AC154" t="s">
        <v>3184</v>
      </c>
    </row>
    <row r="155" spans="14:29">
      <c r="N155" s="216"/>
      <c r="AC155" t="s">
        <v>3185</v>
      </c>
    </row>
    <row r="156" spans="14:29">
      <c r="N156" s="216"/>
      <c r="AC156" t="s">
        <v>3186</v>
      </c>
    </row>
    <row r="157" spans="14:29">
      <c r="N157" s="216"/>
      <c r="AC157" t="s">
        <v>3187</v>
      </c>
    </row>
    <row r="158" spans="14:29">
      <c r="N158" s="216"/>
      <c r="AC158" t="s">
        <v>3188</v>
      </c>
    </row>
    <row r="159" spans="14:29">
      <c r="N159" s="216"/>
      <c r="AC159" t="s">
        <v>3189</v>
      </c>
    </row>
    <row r="160" spans="14:29">
      <c r="N160" s="216"/>
      <c r="AC160" t="s">
        <v>3190</v>
      </c>
    </row>
    <row r="161" spans="14:29">
      <c r="N161" s="216"/>
      <c r="AC161" t="s">
        <v>3191</v>
      </c>
    </row>
    <row r="162" spans="14:29">
      <c r="N162" s="216"/>
      <c r="AC162" t="s">
        <v>3192</v>
      </c>
    </row>
    <row r="163" spans="14:29">
      <c r="N163" s="216"/>
      <c r="AC163" t="s">
        <v>3193</v>
      </c>
    </row>
    <row r="164" spans="14:29">
      <c r="N164" s="216"/>
      <c r="AC164" t="s">
        <v>3194</v>
      </c>
    </row>
    <row r="165" spans="14:29">
      <c r="N165" s="216"/>
      <c r="AC165" t="s">
        <v>3195</v>
      </c>
    </row>
    <row r="166" spans="14:29">
      <c r="N166" s="216"/>
      <c r="AC166" t="s">
        <v>3196</v>
      </c>
    </row>
    <row r="167" spans="14:29">
      <c r="N167" s="216"/>
      <c r="AC167" t="s">
        <v>3197</v>
      </c>
    </row>
    <row r="168" spans="14:29">
      <c r="N168" s="216"/>
      <c r="AC168" t="s">
        <v>3198</v>
      </c>
    </row>
    <row r="169" spans="14:29">
      <c r="N169" s="216"/>
      <c r="AC169" t="s">
        <v>3199</v>
      </c>
    </row>
    <row r="170" spans="14:29">
      <c r="N170" s="216"/>
      <c r="AC170" t="s">
        <v>3200</v>
      </c>
    </row>
    <row r="171" spans="14:29">
      <c r="N171" s="216"/>
      <c r="AC171" t="s">
        <v>3201</v>
      </c>
    </row>
    <row r="172" spans="14:29">
      <c r="N172" s="216"/>
      <c r="AC172" t="s">
        <v>3202</v>
      </c>
    </row>
    <row r="173" spans="14:29">
      <c r="N173" s="216"/>
      <c r="AC173" t="s">
        <v>3203</v>
      </c>
    </row>
    <row r="174" spans="14:29">
      <c r="N174" s="216"/>
      <c r="AC174" t="s">
        <v>3204</v>
      </c>
    </row>
    <row r="175" spans="14:29">
      <c r="N175" s="216"/>
      <c r="AC175" t="s">
        <v>3205</v>
      </c>
    </row>
    <row r="176" spans="14:29">
      <c r="N176" s="216"/>
      <c r="AC176" t="s">
        <v>3206</v>
      </c>
    </row>
    <row r="177" spans="14:29">
      <c r="N177" s="216"/>
      <c r="AC177" t="s">
        <v>3207</v>
      </c>
    </row>
    <row r="178" spans="14:29">
      <c r="N178" s="216"/>
      <c r="AC178" t="s">
        <v>3208</v>
      </c>
    </row>
    <row r="179" spans="14:29">
      <c r="N179" s="216"/>
      <c r="AC179" t="s">
        <v>3209</v>
      </c>
    </row>
    <row r="180" spans="14:29">
      <c r="N180" s="216"/>
      <c r="AC180" t="s">
        <v>3210</v>
      </c>
    </row>
    <row r="181" spans="14:29">
      <c r="N181" s="216"/>
      <c r="AC181" t="s">
        <v>3211</v>
      </c>
    </row>
    <row r="182" spans="14:29">
      <c r="N182" s="216"/>
      <c r="AC182" t="s">
        <v>3212</v>
      </c>
    </row>
    <row r="183" spans="14:29">
      <c r="N183" s="216"/>
      <c r="AC183" t="s">
        <v>3213</v>
      </c>
    </row>
    <row r="184" spans="14:29">
      <c r="N184" s="216"/>
      <c r="AC184" t="s">
        <v>3214</v>
      </c>
    </row>
    <row r="185" spans="14:29">
      <c r="N185" s="216"/>
      <c r="AC185" t="s">
        <v>3215</v>
      </c>
    </row>
    <row r="186" spans="14:29">
      <c r="N186" s="216"/>
      <c r="AC186" t="s">
        <v>3216</v>
      </c>
    </row>
    <row r="187" spans="14:29">
      <c r="N187" s="216"/>
      <c r="AC187" t="s">
        <v>3217</v>
      </c>
    </row>
    <row r="188" spans="14:29">
      <c r="N188" s="216"/>
      <c r="AC188" t="s">
        <v>3218</v>
      </c>
    </row>
    <row r="189" spans="14:29">
      <c r="N189" s="216"/>
      <c r="AC189" t="s">
        <v>3219</v>
      </c>
    </row>
    <row r="190" spans="14:29">
      <c r="N190" s="216"/>
      <c r="AC190" t="s">
        <v>3220</v>
      </c>
    </row>
    <row r="191" spans="14:29">
      <c r="N191" s="216"/>
      <c r="AC191" t="s">
        <v>3221</v>
      </c>
    </row>
    <row r="192" spans="14:29">
      <c r="N192" s="216"/>
      <c r="AC192" t="s">
        <v>3222</v>
      </c>
    </row>
    <row r="193" spans="2:29">
      <c r="N193" s="216"/>
      <c r="AC193" t="s">
        <v>3223</v>
      </c>
    </row>
    <row r="194" spans="2:29">
      <c r="N194" s="216"/>
      <c r="AC194" t="s">
        <v>3224</v>
      </c>
    </row>
    <row r="195" spans="2:29">
      <c r="N195" s="216"/>
      <c r="AC195" t="s">
        <v>3225</v>
      </c>
    </row>
    <row r="196" spans="2:29">
      <c r="N196" s="216"/>
      <c r="AC196" t="s">
        <v>3226</v>
      </c>
    </row>
    <row r="197" spans="2:29">
      <c r="N197" s="216"/>
      <c r="AC197" t="s">
        <v>3227</v>
      </c>
    </row>
    <row r="198" spans="2:29">
      <c r="N198" s="216"/>
      <c r="AC198" t="s">
        <v>3228</v>
      </c>
    </row>
    <row r="199" spans="2:29">
      <c r="N199" s="216"/>
      <c r="AC199" t="s">
        <v>3229</v>
      </c>
    </row>
    <row r="200" spans="2:29">
      <c r="N200" s="216"/>
      <c r="AC200" t="s">
        <v>3230</v>
      </c>
    </row>
    <row r="201" spans="2:29">
      <c r="B201" t="s">
        <v>3231</v>
      </c>
      <c r="C201" t="s">
        <v>2932</v>
      </c>
      <c r="E201" t="s">
        <v>3231</v>
      </c>
      <c r="J201" t="s">
        <v>3232</v>
      </c>
      <c r="M201" s="301"/>
      <c r="N201" s="216"/>
      <c r="P201" t="s">
        <v>3233</v>
      </c>
      <c r="Q201" t="s">
        <v>3231</v>
      </c>
      <c r="R201">
        <v>123</v>
      </c>
      <c r="U201" t="s">
        <v>3234</v>
      </c>
      <c r="AC201" t="s">
        <v>3235</v>
      </c>
    </row>
    <row r="202" spans="2:29">
      <c r="B202" t="s">
        <v>3236</v>
      </c>
      <c r="C202" t="s">
        <v>2932</v>
      </c>
      <c r="E202" t="s">
        <v>3236</v>
      </c>
      <c r="J202" t="s">
        <v>3237</v>
      </c>
      <c r="M202" s="301"/>
      <c r="N202" s="216"/>
      <c r="P202" t="s">
        <v>3236</v>
      </c>
      <c r="Q202" t="s">
        <v>3233</v>
      </c>
      <c r="R202" t="s">
        <v>3238</v>
      </c>
      <c r="U202" t="s">
        <v>3239</v>
      </c>
      <c r="AC202" t="s">
        <v>3240</v>
      </c>
    </row>
    <row r="203" spans="2:29">
      <c r="B203" t="s">
        <v>3241</v>
      </c>
      <c r="C203" t="s">
        <v>2932</v>
      </c>
      <c r="E203" t="s">
        <v>3236</v>
      </c>
      <c r="J203" t="s">
        <v>34</v>
      </c>
      <c r="M203" s="301"/>
      <c r="N203" s="216"/>
      <c r="P203" t="s">
        <v>3236</v>
      </c>
      <c r="Q203" t="s">
        <v>3236</v>
      </c>
      <c r="R203" t="s">
        <v>3238</v>
      </c>
      <c r="U203">
        <v>123</v>
      </c>
      <c r="AC203" t="s">
        <v>3242</v>
      </c>
    </row>
  </sheetData>
  <conditionalFormatting sqref="C71:C93">
    <cfRule type="containsText" dxfId="4" priority="1" operator="containsText" text="OTW">
      <formula>NOT(ISERROR(SEARCH("OTW",C71)))</formula>
    </cfRule>
    <cfRule type="containsText" dxfId="3" priority="2" operator="containsText" text="NO FOUND">
      <formula>NOT(ISERROR(SEARCH("NO FOUND",C71)))</formula>
    </cfRule>
    <cfRule type="containsText" dxfId="2" priority="3" operator="containsText" text="KEEP">
      <formula>NOT(ISERROR(SEARCH("KEEP",C71)))</formula>
    </cfRule>
    <cfRule type="containsText" dxfId="1" priority="4" operator="containsText" text="USE">
      <formula>NOT(ISERROR(SEARCH("USE",C71)))</formula>
    </cfRule>
    <cfRule type="endsWith" dxfId="0" priority="5" operator="endsWith" text="D">
      <formula>RIGHT(C71,LEN("D"))="D"</formula>
    </cfRule>
  </conditionalFormatting>
  <dataValidations count="5">
    <dataValidation type="list" allowBlank="1" showInputMessage="1" showErrorMessage="1" sqref="F2:F203" xr:uid="{633F8BA9-0DCF-4C8A-B1D0-3D38A7CDAC2C}">
      <formula1>"Laptop,Desktop,iPad"</formula1>
    </dataValidation>
    <dataValidation type="list" allowBlank="1" showInputMessage="1" showErrorMessage="1" sqref="J2:J203" xr:uid="{709746EE-7C82-4852-AE00-B80FBBB89186}">
      <formula1>"Tampoi,PJ"</formula1>
    </dataValidation>
    <dataValidation type="list" allowBlank="1" showInputMessage="1" showErrorMessage="1" sqref="C2:C203" xr:uid="{710A60E8-9C45-46B1-9F43-DF01C62BCBBF}">
      <formula1>"Active,To be disposed,Faulty,Repair,Handover,Vacant"</formula1>
    </dataValidation>
    <dataValidation allowBlank="1" showInputMessage="1" showErrorMessage="1" sqref="D2:D203" xr:uid="{AC6B7C81-8206-4602-BED2-B5FEC394BEA6}"/>
    <dataValidation type="list" allowBlank="1" showInputMessage="1" showErrorMessage="1" sqref="T2:T203" xr:uid="{6F22A0C4-88B4-4E2A-AF69-9822E1706D06}">
      <formula1>"M365 Standard,M365 Basic - 2021,M365 Basic - 2019,M365 Basic - 2016"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978FD03BCC6141896E0FEF55DADD39" ma:contentTypeVersion="17" ma:contentTypeDescription="Create a new document." ma:contentTypeScope="" ma:versionID="b25b192c594bf370f5f272dcc5db3f6f">
  <xsd:schema xmlns:xsd="http://www.w3.org/2001/XMLSchema" xmlns:xs="http://www.w3.org/2001/XMLSchema" xmlns:p="http://schemas.microsoft.com/office/2006/metadata/properties" xmlns:ns2="3e8049ca-a398-4191-b983-af8df0c0cb7d" xmlns:ns3="170b95a1-6cf4-445e-a857-d4095cdb7f2a" xmlns:ns4="50d77990-0ed9-4617-9db8-e3ef546da1c4" targetNamespace="http://schemas.microsoft.com/office/2006/metadata/properties" ma:root="true" ma:fieldsID="f2dfef842fa52c26401689279376459f" ns2:_="" ns3:_="" ns4:_="">
    <xsd:import namespace="3e8049ca-a398-4191-b983-af8df0c0cb7d"/>
    <xsd:import namespace="170b95a1-6cf4-445e-a857-d4095cdb7f2a"/>
    <xsd:import namespace="50d77990-0ed9-4617-9db8-e3ef546da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4:SharedWithUsers" minOccurs="0"/>
                <xsd:element ref="ns4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049ca-a398-4191-b983-af8df0c0c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5d4a7-5ad2-408a-8184-b9842d85fc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b95a1-6cf4-445e-a857-d4095cdb7f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27d9d2-7678-4aba-b2e8-a0f77c8f1990}" ma:internalName="TaxCatchAll" ma:showField="CatchAllData" ma:web="170b95a1-6cf4-445e-a857-d4095cdb7f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77990-0ed9-4617-9db8-e3ef546da1c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8049ca-a398-4191-b983-af8df0c0cb7d">
      <Terms xmlns="http://schemas.microsoft.com/office/infopath/2007/PartnerControls"/>
    </lcf76f155ced4ddcb4097134ff3c332f>
    <TaxCatchAll xmlns="170b95a1-6cf4-445e-a857-d4095cdb7f2a" xsi:nil="true"/>
    <_Flow_SignoffStatus xmlns="3e8049ca-a398-4191-b983-af8df0c0cb7d" xsi:nil="true"/>
    <SharedWithUsers xmlns="50d77990-0ed9-4617-9db8-e3ef546da1c4">
      <UserInfo>
        <DisplayName>Yusmadi Bin Ahmad</DisplayName>
        <AccountId>346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CF9AC20-16A5-444D-A164-6BCE65ED4C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CB0D2B-99FC-4206-8E96-0140350713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049ca-a398-4191-b983-af8df0c0cb7d"/>
    <ds:schemaRef ds:uri="170b95a1-6cf4-445e-a857-d4095cdb7f2a"/>
    <ds:schemaRef ds:uri="50d77990-0ed9-4617-9db8-e3ef546da1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A23489-7D67-4F69-AEFF-64A7FEB1C5D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BC1B28A-DC1E-4605-8163-C05E95E1C2E9}">
  <ds:schemaRefs>
    <ds:schemaRef ds:uri="http://schemas.microsoft.com/office/2006/metadata/properties"/>
    <ds:schemaRef ds:uri="http://schemas.microsoft.com/office/infopath/2007/PartnerControls"/>
    <ds:schemaRef ds:uri="3e8049ca-a398-4191-b983-af8df0c0cb7d"/>
    <ds:schemaRef ds:uri="170b95a1-6cf4-445e-a857-d4095cdb7f2a"/>
    <ds:schemaRef ds:uri="50d77990-0ed9-4617-9db8-e3ef546da1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PC List Master</vt:lpstr>
      <vt:lpstr>Batch4 Migration Plan</vt:lpstr>
      <vt:lpstr>Desktop PC Info</vt:lpstr>
      <vt:lpstr>PC List (2)</vt:lpstr>
      <vt:lpstr>Sheet10</vt:lpstr>
      <vt:lpstr>Disposal</vt:lpstr>
      <vt:lpstr>Sheet4</vt:lpstr>
      <vt:lpstr>Sheet2</vt:lpstr>
      <vt:lpstr>Sheet3</vt:lpstr>
      <vt:lpstr>Main Dashboard</vt:lpstr>
      <vt:lpstr>Masterlist_2026</vt:lpstr>
      <vt:lpstr>'PC List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weki</dc:creator>
  <cp:keywords/>
  <dc:description/>
  <cp:lastModifiedBy>Alif Teoh Bin Mohd Shukri Teoh</cp:lastModifiedBy>
  <cp:revision/>
  <dcterms:created xsi:type="dcterms:W3CDTF">2018-08-28T06:07:53Z</dcterms:created>
  <dcterms:modified xsi:type="dcterms:W3CDTF">2026-10-07T09:59:15Z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0x010100D7978FD03BCC6141896E0FEF55DADD39</vt:lpwstr>
  </property>
  <property fmtid="{D5CDD505-2E9C-101B-9397-08002B2CF9AE}" pid="3" name="Order">
    <vt:r8>662400</vt:r8>
  </property>
  <property fmtid="{D5CDD505-2E9C-101B-9397-08002B2CF9AE}" pid="4" name="MediaServiceImageTags">
    <vt:lpwstr/>
  </property>
</Properties>
</file>